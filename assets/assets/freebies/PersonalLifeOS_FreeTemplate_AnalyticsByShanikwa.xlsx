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c04b568a9f496a65/0 A Etsy-TikTok-YouTube Content Business/Etsy Shop/Cursor-Claude Code Digital Products/"/>
    </mc:Choice>
  </mc:AlternateContent>
  <xr:revisionPtr revIDLastSave="5" documentId="11_216C19A43443E8211EF862C5A32116FE72ED31F9" xr6:coauthVersionLast="47" xr6:coauthVersionMax="47" xr10:uidLastSave="{C6539967-CDDA-5690-957D-6BD0146C0CE6}"/>
  <bookViews>
    <workbookView xWindow="-110" yWindow="-110" windowWidth="25820" windowHeight="15500" tabRatio="500" xr2:uid="{00000000-000D-0000-FFFF-FFFF00000000}"/>
  </bookViews>
  <sheets>
    <sheet name="📋 Start Here" sheetId="1" r:id="rId1"/>
    <sheet name="📅 Weekly Life Planner" sheetId="2" r:id="rId2"/>
    <sheet name="💰 Monthly Money Snapshot" sheetId="3" r:id="rId3"/>
    <sheet name="🎯 Goals Dashboard" sheetId="4" r:id="rId4"/>
    <sheet name="🙏 Daily Wins &amp; Gratitude" sheetId="5" r:id="rId5"/>
    <sheet name="💸 Debt Tracker" sheetId="6" r:id="rId6"/>
    <sheet name="📈 Payoff Timeline" sheetId="7" r:id="rId7"/>
    <sheet name="🧮 Method Comparison" sheetId="8"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K15" i="8" l="1"/>
  <c r="J15" i="8"/>
  <c r="I15" i="8"/>
  <c r="H15" i="8"/>
  <c r="E15" i="8"/>
  <c r="D15" i="8"/>
  <c r="C15" i="8"/>
  <c r="B15" i="8"/>
  <c r="K14" i="8"/>
  <c r="J14" i="8"/>
  <c r="I14" i="8"/>
  <c r="H14" i="8"/>
  <c r="E14" i="8"/>
  <c r="D14" i="8"/>
  <c r="C14" i="8"/>
  <c r="B14" i="8"/>
  <c r="K13" i="8"/>
  <c r="J13" i="8"/>
  <c r="I13" i="8"/>
  <c r="H13" i="8"/>
  <c r="E13" i="8"/>
  <c r="D13" i="8"/>
  <c r="C13" i="8"/>
  <c r="B13" i="8"/>
  <c r="K12" i="8"/>
  <c r="J12" i="8"/>
  <c r="I12" i="8"/>
  <c r="H12" i="8"/>
  <c r="E12" i="8"/>
  <c r="D12" i="8"/>
  <c r="C12" i="8"/>
  <c r="B12" i="8"/>
  <c r="K11" i="8"/>
  <c r="J11" i="8"/>
  <c r="I11" i="8"/>
  <c r="H11" i="8"/>
  <c r="E11" i="8"/>
  <c r="D11" i="8"/>
  <c r="C11" i="8"/>
  <c r="B11" i="8"/>
  <c r="K10" i="8"/>
  <c r="J10" i="8"/>
  <c r="I10" i="8"/>
  <c r="H10" i="8"/>
  <c r="E10" i="8"/>
  <c r="D10" i="8"/>
  <c r="C10" i="8"/>
  <c r="B10" i="8"/>
  <c r="K9" i="8"/>
  <c r="J9" i="8"/>
  <c r="I9" i="8"/>
  <c r="H9" i="8"/>
  <c r="E9" i="8"/>
  <c r="D9" i="8"/>
  <c r="C9" i="8"/>
  <c r="B9" i="8"/>
  <c r="K8" i="8"/>
  <c r="J8" i="8"/>
  <c r="I8" i="8"/>
  <c r="H8" i="8"/>
  <c r="E8" i="8"/>
  <c r="D8" i="8"/>
  <c r="C8" i="8"/>
  <c r="B8" i="8"/>
  <c r="K7" i="8"/>
  <c r="J7" i="8"/>
  <c r="I7" i="8"/>
  <c r="H7" i="8"/>
  <c r="E7" i="8"/>
  <c r="D7" i="8"/>
  <c r="C7" i="8"/>
  <c r="B7" i="8"/>
  <c r="K6" i="8"/>
  <c r="J6" i="8"/>
  <c r="I6" i="8"/>
  <c r="H6" i="8"/>
  <c r="E6" i="8"/>
  <c r="D6" i="8"/>
  <c r="C6" i="8"/>
  <c r="B6" i="8"/>
  <c r="F68" i="7"/>
  <c r="C68" i="7"/>
  <c r="F67" i="7"/>
  <c r="C67" i="7"/>
  <c r="F66" i="7"/>
  <c r="C66" i="7"/>
  <c r="F65" i="7"/>
  <c r="C65" i="7"/>
  <c r="F64" i="7"/>
  <c r="C64" i="7"/>
  <c r="F63" i="7"/>
  <c r="C63" i="7"/>
  <c r="F62" i="7"/>
  <c r="C62" i="7"/>
  <c r="F61" i="7"/>
  <c r="C61" i="7"/>
  <c r="F60" i="7"/>
  <c r="C60" i="7"/>
  <c r="F59" i="7"/>
  <c r="C59" i="7"/>
  <c r="F58" i="7"/>
  <c r="C58" i="7"/>
  <c r="F57" i="7"/>
  <c r="C57" i="7"/>
  <c r="F56" i="7"/>
  <c r="C56" i="7"/>
  <c r="F55" i="7"/>
  <c r="C55" i="7"/>
  <c r="F54" i="7"/>
  <c r="C54" i="7"/>
  <c r="F53" i="7"/>
  <c r="C53" i="7"/>
  <c r="F52" i="7"/>
  <c r="C52" i="7"/>
  <c r="F51" i="7"/>
  <c r="C51" i="7"/>
  <c r="F50" i="7"/>
  <c r="C50" i="7"/>
  <c r="F49" i="7"/>
  <c r="C49" i="7"/>
  <c r="F48" i="7"/>
  <c r="C48" i="7"/>
  <c r="F47" i="7"/>
  <c r="C47" i="7"/>
  <c r="F46" i="7"/>
  <c r="C46" i="7"/>
  <c r="F45" i="7"/>
  <c r="C45" i="7"/>
  <c r="F44" i="7"/>
  <c r="C44" i="7"/>
  <c r="F43" i="7"/>
  <c r="C43" i="7"/>
  <c r="F42" i="7"/>
  <c r="C42" i="7"/>
  <c r="F41" i="7"/>
  <c r="C41" i="7"/>
  <c r="F40" i="7"/>
  <c r="C40" i="7"/>
  <c r="F39" i="7"/>
  <c r="C39" i="7"/>
  <c r="F38" i="7"/>
  <c r="C38" i="7"/>
  <c r="F37" i="7"/>
  <c r="C37" i="7"/>
  <c r="F36" i="7"/>
  <c r="C36" i="7"/>
  <c r="F35" i="7"/>
  <c r="C35" i="7"/>
  <c r="F34" i="7"/>
  <c r="C34" i="7"/>
  <c r="F33" i="7"/>
  <c r="C33" i="7"/>
  <c r="F32" i="7"/>
  <c r="C32" i="7"/>
  <c r="F31" i="7"/>
  <c r="C31" i="7"/>
  <c r="F30" i="7"/>
  <c r="C30" i="7"/>
  <c r="F29" i="7"/>
  <c r="C29" i="7"/>
  <c r="F28" i="7"/>
  <c r="C28" i="7"/>
  <c r="F27" i="7"/>
  <c r="C27" i="7"/>
  <c r="F26" i="7"/>
  <c r="C26" i="7"/>
  <c r="F25" i="7"/>
  <c r="C25" i="7"/>
  <c r="F24" i="7"/>
  <c r="C24" i="7"/>
  <c r="F23" i="7"/>
  <c r="C23" i="7"/>
  <c r="F22" i="7"/>
  <c r="C22" i="7"/>
  <c r="F21" i="7"/>
  <c r="C21" i="7"/>
  <c r="F20" i="7"/>
  <c r="C20" i="7"/>
  <c r="F19" i="7"/>
  <c r="C19" i="7"/>
  <c r="F18" i="7"/>
  <c r="C18" i="7"/>
  <c r="F17" i="7"/>
  <c r="C17" i="7"/>
  <c r="F16" i="7"/>
  <c r="C16" i="7"/>
  <c r="F15" i="7"/>
  <c r="C15" i="7"/>
  <c r="F14" i="7"/>
  <c r="C14" i="7"/>
  <c r="F13" i="7"/>
  <c r="C13" i="7"/>
  <c r="F12" i="7"/>
  <c r="C12" i="7"/>
  <c r="F11" i="7"/>
  <c r="C11" i="7"/>
  <c r="F10" i="7"/>
  <c r="C10" i="7"/>
  <c r="F9" i="7"/>
  <c r="C9" i="7"/>
  <c r="K6" i="7"/>
  <c r="D37" i="6"/>
  <c r="G35" i="6"/>
  <c r="D35" i="6"/>
  <c r="G34" i="6"/>
  <c r="D34" i="6"/>
  <c r="G33" i="6"/>
  <c r="D33" i="6"/>
  <c r="H27" i="6"/>
  <c r="F27" i="6"/>
  <c r="D27" i="6"/>
  <c r="B27" i="6"/>
  <c r="E19" i="6"/>
  <c r="C19" i="6"/>
  <c r="J18" i="6"/>
  <c r="I18" i="6"/>
  <c r="F18" i="6"/>
  <c r="J17" i="6"/>
  <c r="I17" i="6"/>
  <c r="F17" i="6"/>
  <c r="J16" i="6"/>
  <c r="I16" i="6"/>
  <c r="F16" i="6"/>
  <c r="J15" i="6"/>
  <c r="I15" i="6"/>
  <c r="F15" i="6"/>
  <c r="J14" i="6"/>
  <c r="I14" i="6"/>
  <c r="F14" i="6"/>
  <c r="J13" i="6"/>
  <c r="I13" i="6"/>
  <c r="F13" i="6"/>
  <c r="J12" i="6"/>
  <c r="I12" i="6"/>
  <c r="F12" i="6"/>
  <c r="J11" i="6"/>
  <c r="I11" i="6"/>
  <c r="F11" i="6"/>
  <c r="J10" i="6"/>
  <c r="I10" i="6"/>
  <c r="F10" i="6"/>
  <c r="J9" i="6"/>
  <c r="I9" i="6"/>
  <c r="F9" i="6"/>
  <c r="F53" i="5"/>
  <c r="E53" i="5"/>
  <c r="D53" i="5"/>
  <c r="C53" i="5"/>
  <c r="B53" i="5"/>
  <c r="F38" i="5"/>
  <c r="C48" i="3"/>
  <c r="D43" i="3"/>
  <c r="C43" i="3"/>
  <c r="E42" i="3"/>
  <c r="E41" i="3"/>
  <c r="E40" i="3"/>
  <c r="E39" i="3"/>
  <c r="D36" i="3"/>
  <c r="C36" i="3"/>
  <c r="E35" i="3"/>
  <c r="E34" i="3"/>
  <c r="E33" i="3"/>
  <c r="E32" i="3"/>
  <c r="E31" i="3"/>
  <c r="E30" i="3"/>
  <c r="E29" i="3"/>
  <c r="E28" i="3"/>
  <c r="D24" i="3"/>
  <c r="C24" i="3"/>
  <c r="E23" i="3"/>
  <c r="E22" i="3"/>
  <c r="E21" i="3"/>
  <c r="E20" i="3"/>
  <c r="E19" i="3"/>
  <c r="E18" i="3"/>
  <c r="E17" i="3"/>
  <c r="D13" i="3"/>
  <c r="C13" i="3"/>
  <c r="E12" i="3"/>
  <c r="E11" i="3"/>
  <c r="E10" i="3"/>
  <c r="E9" i="3"/>
  <c r="E8" i="3"/>
  <c r="I35" i="2"/>
  <c r="H35" i="2"/>
  <c r="G35" i="2"/>
  <c r="F35" i="2"/>
  <c r="E35" i="2"/>
  <c r="D35" i="2"/>
  <c r="C35" i="2"/>
  <c r="I29" i="2"/>
  <c r="H29" i="2"/>
  <c r="G29" i="2"/>
  <c r="F29" i="2"/>
  <c r="E29" i="2"/>
  <c r="D29" i="2"/>
  <c r="C29" i="2"/>
  <c r="E21" i="8" l="1"/>
  <c r="K16" i="8"/>
  <c r="I16" i="8"/>
  <c r="E16" i="8"/>
  <c r="C16" i="8"/>
  <c r="L15" i="8"/>
  <c r="F15" i="8"/>
  <c r="L14" i="8"/>
  <c r="F14" i="8"/>
  <c r="L13" i="8"/>
  <c r="F13" i="8"/>
  <c r="L8" i="8"/>
  <c r="F8" i="8"/>
  <c r="L7" i="8"/>
  <c r="F7" i="8"/>
  <c r="E62" i="7"/>
  <c r="E61" i="7"/>
  <c r="E56" i="7"/>
  <c r="E52" i="7"/>
  <c r="K51" i="7"/>
  <c r="K50" i="7"/>
  <c r="K49" i="7"/>
  <c r="E49" i="7"/>
  <c r="E44" i="7"/>
  <c r="K43" i="7"/>
  <c r="E37" i="7"/>
  <c r="E36" i="7"/>
  <c r="K35" i="7"/>
  <c r="E6" i="7"/>
  <c r="H10" i="6"/>
  <c r="L12" i="8"/>
  <c r="F12" i="8"/>
  <c r="L11" i="8"/>
  <c r="F11" i="8"/>
  <c r="L10" i="8"/>
  <c r="F10" i="8"/>
  <c r="F6" i="8"/>
  <c r="K68" i="7"/>
  <c r="E68" i="7"/>
  <c r="E58" i="7"/>
  <c r="K57" i="7"/>
  <c r="E57" i="7"/>
  <c r="K53" i="7"/>
  <c r="E51" i="7"/>
  <c r="E43" i="7"/>
  <c r="K42" i="7"/>
  <c r="K41" i="7"/>
  <c r="K23" i="7"/>
  <c r="E19" i="7"/>
  <c r="K13" i="7"/>
  <c r="K12" i="7"/>
  <c r="K9" i="7"/>
  <c r="D9" i="7"/>
  <c r="G13" i="6"/>
  <c r="H11" i="6"/>
  <c r="H9" i="6"/>
  <c r="E55" i="3"/>
  <c r="C46" i="3"/>
  <c r="L9" i="8"/>
  <c r="F9" i="8"/>
  <c r="L6" i="8"/>
  <c r="E67" i="7"/>
  <c r="E66" i="7"/>
  <c r="K64" i="7"/>
  <c r="E64" i="7"/>
  <c r="K63" i="7"/>
  <c r="E63" i="7"/>
  <c r="K56" i="7"/>
  <c r="K55" i="7"/>
  <c r="E55" i="7"/>
  <c r="E50" i="7"/>
  <c r="K48" i="7"/>
  <c r="K47" i="7"/>
  <c r="E41" i="7"/>
  <c r="E40" i="7"/>
  <c r="E26" i="7"/>
  <c r="D23" i="6"/>
  <c r="G16" i="6"/>
  <c r="H15" i="6"/>
  <c r="G15" i="6"/>
  <c r="G12" i="6"/>
  <c r="K67" i="7"/>
  <c r="K66" i="7"/>
  <c r="K62" i="7"/>
  <c r="K60" i="7"/>
  <c r="E59" i="7"/>
  <c r="K54" i="7"/>
  <c r="E53" i="7"/>
  <c r="K52" i="7"/>
  <c r="K46" i="7"/>
  <c r="K45" i="7"/>
  <c r="E45" i="7"/>
  <c r="E35" i="7"/>
  <c r="K34" i="7"/>
  <c r="K26" i="7"/>
  <c r="K24" i="7"/>
  <c r="K20" i="7"/>
  <c r="K18" i="7"/>
  <c r="E12" i="7"/>
  <c r="E11" i="7"/>
  <c r="G10" i="6"/>
  <c r="D55" i="3"/>
  <c r="B57" i="3" s="1"/>
  <c r="C47" i="3"/>
  <c r="E43" i="3"/>
  <c r="K65" i="7"/>
  <c r="E65" i="7"/>
  <c r="K61" i="7"/>
  <c r="E60" i="7"/>
  <c r="K59" i="7"/>
  <c r="K58" i="7"/>
  <c r="E54" i="7"/>
  <c r="K39" i="7"/>
  <c r="K38" i="7"/>
  <c r="K37" i="7"/>
  <c r="K36" i="7"/>
  <c r="H12" i="6"/>
  <c r="C50" i="3"/>
  <c r="C45" i="3"/>
  <c r="E48" i="7"/>
  <c r="E47" i="7"/>
  <c r="K44" i="7"/>
  <c r="K28" i="7"/>
  <c r="E27" i="7"/>
  <c r="K25" i="7"/>
  <c r="K21" i="7"/>
  <c r="K10" i="7"/>
  <c r="B23" i="6"/>
  <c r="G18" i="6"/>
  <c r="H17" i="6"/>
  <c r="C49" i="3"/>
  <c r="C44" i="3"/>
  <c r="E42" i="7"/>
  <c r="K40" i="7"/>
  <c r="F23" i="6"/>
  <c r="B55" i="3"/>
  <c r="E39" i="7"/>
  <c r="K27" i="7"/>
  <c r="K19" i="7"/>
  <c r="E13" i="7"/>
  <c r="C55" i="3"/>
  <c r="E24" i="3"/>
  <c r="E46" i="7"/>
  <c r="E24" i="7"/>
  <c r="E20" i="7"/>
  <c r="K11" i="7"/>
  <c r="G23" i="6"/>
  <c r="I6" i="7"/>
  <c r="I23" i="6"/>
  <c r="H13" i="6"/>
  <c r="E38" i="7"/>
  <c r="K22" i="7"/>
  <c r="E21" i="7"/>
  <c r="E9" i="7"/>
  <c r="H18" i="6"/>
  <c r="H14" i="6"/>
  <c r="E13" i="3"/>
  <c r="E34" i="7"/>
  <c r="K33" i="7"/>
  <c r="E33" i="7"/>
  <c r="K32" i="7"/>
  <c r="E32" i="7"/>
  <c r="K31" i="7"/>
  <c r="E31" i="7"/>
  <c r="K30" i="7"/>
  <c r="E28" i="7"/>
  <c r="E25" i="7"/>
  <c r="C6" i="7"/>
  <c r="G17" i="6"/>
  <c r="G14" i="6"/>
  <c r="G11" i="6"/>
  <c r="G9" i="6"/>
  <c r="E30" i="7"/>
  <c r="K29" i="7"/>
  <c r="E29" i="7"/>
  <c r="E23" i="7"/>
  <c r="E10" i="7"/>
  <c r="G6" i="7"/>
  <c r="E22" i="7"/>
  <c r="E36" i="3"/>
  <c r="E18" i="7"/>
  <c r="K17" i="7"/>
  <c r="E17" i="7"/>
  <c r="K16" i="7"/>
  <c r="E16" i="7"/>
  <c r="K15" i="7"/>
  <c r="E15" i="7"/>
  <c r="K14" i="7"/>
  <c r="E14" i="7"/>
  <c r="H16" i="6"/>
  <c r="G9" i="7" l="1"/>
  <c r="I9" i="7"/>
  <c r="H9" i="7"/>
  <c r="J9" i="7"/>
  <c r="G10" i="8"/>
  <c r="M10" i="8"/>
  <c r="G13" i="8"/>
  <c r="M13" i="8"/>
  <c r="G12" i="8"/>
  <c r="M12" i="8"/>
  <c r="G9" i="8"/>
  <c r="M9" i="8"/>
  <c r="G7" i="8"/>
  <c r="M7" i="8"/>
  <c r="G15" i="8"/>
  <c r="M15" i="8"/>
  <c r="G14" i="8"/>
  <c r="M14" i="8"/>
  <c r="G11" i="8"/>
  <c r="M11" i="8"/>
  <c r="M8" i="8"/>
  <c r="G8" i="8"/>
  <c r="G6" i="8"/>
  <c r="M6" i="8"/>
  <c r="L9" i="7" l="1"/>
  <c r="D10" i="7"/>
  <c r="G16" i="8"/>
  <c r="M16" i="8"/>
  <c r="G10" i="7" l="1"/>
  <c r="J10" i="7"/>
  <c r="I10" i="7"/>
  <c r="H10" i="7"/>
  <c r="D11" i="7" l="1"/>
  <c r="L10" i="7"/>
  <c r="G11" i="7" l="1"/>
  <c r="J11" i="7"/>
  <c r="H11" i="7"/>
  <c r="I11" i="7"/>
  <c r="L11" i="7" l="1"/>
  <c r="D12" i="7"/>
  <c r="G12" i="7" l="1"/>
  <c r="J12" i="7"/>
  <c r="H12" i="7"/>
  <c r="I12" i="7"/>
  <c r="L12" i="7" l="1"/>
  <c r="D13" i="7"/>
  <c r="J13" i="7" l="1"/>
  <c r="I13" i="7"/>
  <c r="G13" i="7"/>
  <c r="H13" i="7"/>
  <c r="L13" i="7" l="1"/>
  <c r="D14" i="7"/>
  <c r="G14" i="7" l="1"/>
  <c r="H14" i="7"/>
  <c r="I14" i="7"/>
  <c r="J14" i="7"/>
  <c r="L14" i="7" l="1"/>
  <c r="D15" i="7"/>
  <c r="G15" i="7" l="1"/>
  <c r="H15" i="7"/>
  <c r="I15" i="7"/>
  <c r="J15" i="7"/>
  <c r="L15" i="7" l="1"/>
  <c r="D16" i="7"/>
  <c r="G16" i="7" l="1"/>
  <c r="H16" i="7"/>
  <c r="I16" i="7"/>
  <c r="J16" i="7"/>
  <c r="L16" i="7" l="1"/>
  <c r="D17" i="7"/>
  <c r="G17" i="7" l="1"/>
  <c r="H17" i="7"/>
  <c r="I17" i="7"/>
  <c r="J17" i="7"/>
  <c r="L17" i="7" l="1"/>
  <c r="D18" i="7"/>
  <c r="G18" i="7" l="1"/>
  <c r="H18" i="7"/>
  <c r="I18" i="7"/>
  <c r="J18" i="7"/>
  <c r="L18" i="7" l="1"/>
  <c r="D19" i="7"/>
  <c r="H19" i="7" l="1"/>
  <c r="J19" i="7"/>
  <c r="I19" i="7"/>
  <c r="G19" i="7"/>
  <c r="D20" i="7" l="1"/>
  <c r="L19" i="7"/>
  <c r="G20" i="7" l="1"/>
  <c r="I20" i="7"/>
  <c r="H20" i="7"/>
  <c r="J20" i="7"/>
  <c r="D21" i="7" l="1"/>
  <c r="L20" i="7"/>
  <c r="H21" i="7" l="1"/>
  <c r="G21" i="7"/>
  <c r="I21" i="7"/>
  <c r="J21" i="7"/>
  <c r="L21" i="7" l="1"/>
  <c r="D22" i="7"/>
  <c r="G22" i="7" l="1"/>
  <c r="H22" i="7"/>
  <c r="J22" i="7"/>
  <c r="I22" i="7"/>
  <c r="D23" i="7" l="1"/>
  <c r="L22" i="7"/>
  <c r="G23" i="7" l="1"/>
  <c r="I23" i="7"/>
  <c r="J23" i="7"/>
  <c r="H23" i="7"/>
  <c r="D24" i="7" l="1"/>
  <c r="L23" i="7"/>
  <c r="G24" i="7" l="1"/>
  <c r="H24" i="7"/>
  <c r="J24" i="7"/>
  <c r="I24" i="7"/>
  <c r="L24" i="7" l="1"/>
  <c r="D25" i="7"/>
  <c r="H25" i="7" l="1"/>
  <c r="I25" i="7"/>
  <c r="G25" i="7"/>
  <c r="J25" i="7"/>
  <c r="L25" i="7" l="1"/>
  <c r="D26" i="7"/>
  <c r="G26" i="7" l="1"/>
  <c r="I26" i="7"/>
  <c r="H26" i="7"/>
  <c r="J26" i="7"/>
  <c r="D27" i="7" l="1"/>
  <c r="L26" i="7"/>
  <c r="H27" i="7" l="1"/>
  <c r="J27" i="7"/>
  <c r="G27" i="7"/>
  <c r="I27" i="7"/>
  <c r="L27" i="7" l="1"/>
  <c r="D28" i="7"/>
  <c r="I28" i="7" l="1"/>
  <c r="H28" i="7"/>
  <c r="G28" i="7"/>
  <c r="J28" i="7"/>
  <c r="D29" i="7" l="1"/>
  <c r="L28" i="7"/>
  <c r="G29" i="7" l="1"/>
  <c r="H29" i="7"/>
  <c r="I29" i="7"/>
  <c r="J29" i="7"/>
  <c r="L29" i="7" l="1"/>
  <c r="D30" i="7"/>
  <c r="G30" i="7" l="1"/>
  <c r="I30" i="7"/>
  <c r="J30" i="7"/>
  <c r="H30" i="7"/>
  <c r="L30" i="7" l="1"/>
  <c r="D31" i="7"/>
  <c r="G31" i="7" l="1"/>
  <c r="H31" i="7"/>
  <c r="I31" i="7"/>
  <c r="J31" i="7"/>
  <c r="L31" i="7" l="1"/>
  <c r="D32" i="7"/>
  <c r="G32" i="7" l="1"/>
  <c r="H32" i="7"/>
  <c r="I32" i="7"/>
  <c r="J32" i="7"/>
  <c r="L32" i="7" l="1"/>
  <c r="D33" i="7"/>
  <c r="G33" i="7" l="1"/>
  <c r="H33" i="7"/>
  <c r="I33" i="7"/>
  <c r="J33" i="7"/>
  <c r="L33" i="7" l="1"/>
  <c r="D34" i="7"/>
  <c r="J34" i="7" l="1"/>
  <c r="I34" i="7"/>
  <c r="G34" i="7"/>
  <c r="H34" i="7"/>
  <c r="L34" i="7" l="1"/>
  <c r="D35" i="7"/>
  <c r="G35" i="7" l="1"/>
  <c r="I35" i="7"/>
  <c r="H35" i="7"/>
  <c r="J35" i="7"/>
  <c r="D36" i="7" l="1"/>
  <c r="L35" i="7"/>
  <c r="I36" i="7" l="1"/>
  <c r="G36" i="7"/>
  <c r="H36" i="7"/>
  <c r="J36" i="7"/>
  <c r="L36" i="7" l="1"/>
  <c r="D37" i="7"/>
  <c r="H37" i="7" l="1"/>
  <c r="J37" i="7"/>
  <c r="I37" i="7"/>
  <c r="G37" i="7"/>
  <c r="D38" i="7" l="1"/>
  <c r="L37" i="7"/>
  <c r="I38" i="7" l="1"/>
  <c r="H38" i="7"/>
  <c r="G38" i="7"/>
  <c r="J38" i="7"/>
  <c r="L38" i="7" l="1"/>
  <c r="D39" i="7"/>
  <c r="H39" i="7" l="1"/>
  <c r="I39" i="7"/>
  <c r="G39" i="7"/>
  <c r="J39" i="7"/>
  <c r="D40" i="7" l="1"/>
  <c r="L39" i="7"/>
  <c r="H40" i="7" l="1"/>
  <c r="G40" i="7"/>
  <c r="I40" i="7"/>
  <c r="J40" i="7"/>
  <c r="D41" i="7" l="1"/>
  <c r="L40" i="7"/>
  <c r="G41" i="7" l="1"/>
  <c r="H41" i="7"/>
  <c r="I41" i="7"/>
  <c r="J41" i="7"/>
  <c r="D42" i="7" l="1"/>
  <c r="L41" i="7"/>
  <c r="H42" i="7" l="1"/>
  <c r="I42" i="7"/>
  <c r="J42" i="7"/>
  <c r="G42" i="7"/>
  <c r="L42" i="7" l="1"/>
  <c r="D43" i="7"/>
  <c r="H43" i="7" l="1"/>
  <c r="I43" i="7"/>
  <c r="G43" i="7"/>
  <c r="J43" i="7"/>
  <c r="D44" i="7" l="1"/>
  <c r="L43" i="7"/>
  <c r="H44" i="7" l="1"/>
  <c r="I44" i="7"/>
  <c r="G44" i="7"/>
  <c r="J44" i="7"/>
  <c r="D45" i="7" l="1"/>
  <c r="L44" i="7"/>
  <c r="G45" i="7" l="1"/>
  <c r="J45" i="7"/>
  <c r="H45" i="7"/>
  <c r="I45" i="7"/>
  <c r="L45" i="7" l="1"/>
  <c r="D46" i="7"/>
  <c r="H46" i="7" l="1"/>
  <c r="J46" i="7"/>
  <c r="G46" i="7"/>
  <c r="I46" i="7"/>
  <c r="D47" i="7" l="1"/>
  <c r="L46" i="7"/>
  <c r="H47" i="7" l="1"/>
  <c r="G47" i="7"/>
  <c r="I47" i="7"/>
  <c r="J47" i="7"/>
  <c r="L47" i="7" l="1"/>
  <c r="D48" i="7"/>
  <c r="H48" i="7" l="1"/>
  <c r="I48" i="7"/>
  <c r="G48" i="7"/>
  <c r="J48" i="7"/>
  <c r="L48" i="7" l="1"/>
  <c r="D49" i="7"/>
  <c r="J49" i="7" l="1"/>
  <c r="G49" i="7"/>
  <c r="I49" i="7"/>
  <c r="H49" i="7"/>
  <c r="D50" i="7" l="1"/>
  <c r="L49" i="7"/>
  <c r="I50" i="7" l="1"/>
  <c r="G50" i="7"/>
  <c r="J50" i="7"/>
  <c r="H50" i="7"/>
  <c r="L50" i="7" l="1"/>
  <c r="D51" i="7"/>
  <c r="G51" i="7" l="1"/>
  <c r="J51" i="7"/>
  <c r="H51" i="7"/>
  <c r="I51" i="7"/>
  <c r="D52" i="7" l="1"/>
  <c r="L51" i="7"/>
  <c r="G52" i="7" l="1"/>
  <c r="I52" i="7"/>
  <c r="H52" i="7"/>
  <c r="J52" i="7"/>
  <c r="L52" i="7" l="1"/>
  <c r="D53" i="7"/>
  <c r="I53" i="7" l="1"/>
  <c r="G53" i="7"/>
  <c r="J53" i="7"/>
  <c r="H53" i="7"/>
  <c r="L53" i="7" l="1"/>
  <c r="D54" i="7"/>
  <c r="G54" i="7" l="1"/>
  <c r="H54" i="7"/>
  <c r="I54" i="7"/>
  <c r="J54" i="7"/>
  <c r="L54" i="7" l="1"/>
  <c r="D55" i="7"/>
  <c r="G55" i="7" l="1"/>
  <c r="H55" i="7"/>
  <c r="I55" i="7"/>
  <c r="J55" i="7"/>
  <c r="L55" i="7" l="1"/>
  <c r="D56" i="7"/>
  <c r="G56" i="7" l="1"/>
  <c r="H56" i="7"/>
  <c r="I56" i="7"/>
  <c r="J56" i="7"/>
  <c r="L56" i="7" l="1"/>
  <c r="D57" i="7"/>
  <c r="G57" i="7" l="1"/>
  <c r="H57" i="7"/>
  <c r="I57" i="7"/>
  <c r="J57" i="7"/>
  <c r="L57" i="7" l="1"/>
  <c r="D58" i="7"/>
  <c r="G58" i="7" l="1"/>
  <c r="H58" i="7"/>
  <c r="I58" i="7"/>
  <c r="J58" i="7"/>
  <c r="L58" i="7" l="1"/>
  <c r="D59" i="7"/>
  <c r="G59" i="7" l="1"/>
  <c r="I59" i="7"/>
  <c r="H59" i="7"/>
  <c r="J59" i="7"/>
  <c r="L59" i="7" l="1"/>
  <c r="D60" i="7"/>
  <c r="H60" i="7" l="1"/>
  <c r="J60" i="7"/>
  <c r="G60" i="7"/>
  <c r="I60" i="7"/>
  <c r="L60" i="7" l="1"/>
  <c r="D61" i="7"/>
  <c r="I61" i="7" l="1"/>
  <c r="J61" i="7"/>
  <c r="H61" i="7"/>
  <c r="G61" i="7"/>
  <c r="L61" i="7" l="1"/>
  <c r="D62" i="7"/>
  <c r="I62" i="7" l="1"/>
  <c r="H62" i="7"/>
  <c r="G62" i="7"/>
  <c r="J62" i="7"/>
  <c r="D63" i="7" l="1"/>
  <c r="L62" i="7"/>
  <c r="H63" i="7" l="1"/>
  <c r="J63" i="7"/>
  <c r="G63" i="7"/>
  <c r="I63" i="7"/>
  <c r="L63" i="7" l="1"/>
  <c r="D64" i="7"/>
  <c r="G64" i="7" l="1"/>
  <c r="H64" i="7"/>
  <c r="I64" i="7"/>
  <c r="J64" i="7"/>
  <c r="L64" i="7" l="1"/>
  <c r="D65" i="7"/>
  <c r="G65" i="7" l="1"/>
  <c r="H65" i="7"/>
  <c r="I65" i="7"/>
  <c r="J65" i="7"/>
  <c r="L65" i="7" l="1"/>
  <c r="D66" i="7"/>
  <c r="H66" i="7" l="1"/>
  <c r="J66" i="7"/>
  <c r="G66" i="7"/>
  <c r="I66" i="7"/>
  <c r="L66" i="7" l="1"/>
  <c r="D67" i="7"/>
  <c r="H67" i="7" l="1"/>
  <c r="J67" i="7"/>
  <c r="G67" i="7"/>
  <c r="I67" i="7"/>
  <c r="D68" i="7" l="1"/>
  <c r="L67" i="7"/>
  <c r="G68" i="7" l="1"/>
  <c r="I68" i="7"/>
  <c r="H68" i="7"/>
  <c r="J69" i="7" s="1"/>
  <c r="J68" i="7"/>
  <c r="L68" i="7" s="1"/>
</calcChain>
</file>

<file path=xl/sharedStrings.xml><?xml version="1.0" encoding="utf-8"?>
<sst xmlns="http://schemas.openxmlformats.org/spreadsheetml/2006/main" count="340" uniqueCount="274">
  <si>
    <t>PERSONAL LIFE OS
Free Template — AnalyticsByShanikwa</t>
  </si>
  <si>
    <t>Built from real work. Not theory.  —  analyticsbyshanikwa.com</t>
  </si>
  <si>
    <t xml:space="preserve">  A NOTE FROM NIKKI</t>
  </si>
  <si>
    <t>Hey — welcome, and thank you for downloading this.
I built this template because I kept running into a problem most productivity content doesn't address: what do you do when you're organized at work but your personal life has no system?
At work you have project management tools, meeting notes, dashboards. At home you have sticky notes, a notes app, and a mental list that's always slightly on fire.
This is my answer to that gap. Five tabs. Each one covers a different dimension of your personal life that deserves a system but usually doesn't have one.
— Nikki
analyticsbyshanikwa.com</t>
  </si>
  <si>
    <t xml:space="preserve">  THE ONE THING — READ THIS FIRST</t>
  </si>
  <si>
    <t>Start with the Weekly Life Planner (Tab 2). Fill in your Top 3 Priorities for this week before you touch anything else. That takes 5 minutes and activates the whole system. The other four tabs are more useful once you have at least one week of the planner filled in.</t>
  </si>
  <si>
    <t xml:space="preserve">  THE 5 TABS — WHAT EACH ONE DOES</t>
  </si>
  <si>
    <t>📋  Start Here</t>
  </si>
  <si>
    <t>You're here. Read this once, then come back whenever you need a reset.</t>
  </si>
  <si>
    <t>📅  Weekly Life Planner</t>
  </si>
  <si>
    <t>Your weekly command center. Top priorities, daily schedule blocks, habit tracker, energy log. Fill in Sunday evening or Monday morning.</t>
  </si>
  <si>
    <t>💰  Monthly Money Snapshot</t>
  </si>
  <si>
    <t>Income, fixed expenses, variable spending, savings targets. One-page personal P&amp;L. Update it on the 1st of each month.</t>
  </si>
  <si>
    <t>🎯  Goals Dashboard</t>
  </si>
  <si>
    <t>3 active goals with 90-day timelines, weekly action steps, and progress bars. Review weekly. Update monthly.</t>
  </si>
  <si>
    <t>🙏  Daily Wins &amp; Gratitude</t>
  </si>
  <si>
    <t>End-of-day 3-minute log. Three wins, three gratitudes, one lesson, mood rating. 30 days of entries pre-formatted.</t>
  </si>
  <si>
    <t xml:space="preserve">  HOW TO USE THIS IN GOOGLE SHEETS</t>
  </si>
  <si>
    <t>Step 1</t>
  </si>
  <si>
    <t>Open the file in Google Drive and click  File → Make a copy  — takes 30 seconds.</t>
  </si>
  <si>
    <t>Step 2</t>
  </si>
  <si>
    <t>Rename your copy something memorable: 'Nikki's Life OS — 2026' works.</t>
  </si>
  <si>
    <t>Step 3</t>
  </si>
  <si>
    <t>Bookmark it or pin it in Google Sheets. If it's hard to find, you won't use it.</t>
  </si>
  <si>
    <t>Step 4</t>
  </si>
  <si>
    <t>Open Tab 2 (Weekly Life Planner) and fill in your Top 3 Priorities for this week.</t>
  </si>
  <si>
    <t>Step 5</t>
  </si>
  <si>
    <t>Set a Sunday evening recurring calendar reminder: '10 min — update life OS.'</t>
  </si>
  <si>
    <t>Questions? Email hello@analyticsbyshanikwa.com  ·  More templates at analyticsbyshanikwa.com</t>
  </si>
  <si>
    <t>WEEKLY LIFE PLANNER</t>
  </si>
  <si>
    <t xml:space="preserve">  WEEK OF:</t>
  </si>
  <si>
    <t xml:space="preserve">  WEEK THEME / FOCUS:</t>
  </si>
  <si>
    <t xml:space="preserve">  TOP 3 PRIORITIES THIS WEEK</t>
  </si>
  <si>
    <t xml:space="preserve">  #1</t>
  </si>
  <si>
    <t xml:space="preserve">  #2</t>
  </si>
  <si>
    <t xml:space="preserve">  #3</t>
  </si>
  <si>
    <t xml:space="preserve">  DAILY SCHEDULE — KEY BLOCKS (fill in your top 1–2 focus areas per day)</t>
  </si>
  <si>
    <t xml:space="preserve">  TIME BLOCK</t>
  </si>
  <si>
    <t>MON</t>
  </si>
  <si>
    <t>TUE</t>
  </si>
  <si>
    <t>WED</t>
  </si>
  <si>
    <t>THU</t>
  </si>
  <si>
    <t>FRI</t>
  </si>
  <si>
    <t>SAT</t>
  </si>
  <si>
    <t>SUN</t>
  </si>
  <si>
    <t>MORNING
5am–9am</t>
  </si>
  <si>
    <t>MID-MORNING
9am–12pm</t>
  </si>
  <si>
    <t>AFTERNOON
12pm–3pm</t>
  </si>
  <si>
    <t>LATE AFTERNOON
3pm–6pm</t>
  </si>
  <si>
    <t>EVENING
6pm–9pm</t>
  </si>
  <si>
    <t xml:space="preserve">  HABIT TRACKER — mark ✓ when done</t>
  </si>
  <si>
    <t xml:space="preserve">  HABIT</t>
  </si>
  <si>
    <t xml:space="preserve">  Morning prayer / devotional</t>
  </si>
  <si>
    <t xml:space="preserve">  Move my body (30+ min)</t>
  </si>
  <si>
    <t xml:space="preserve">  Read (non-screen, 20+ min)</t>
  </si>
  <si>
    <t xml:space="preserve">  No scrolling after 9pm</t>
  </si>
  <si>
    <t xml:space="preserve">  Log spending</t>
  </si>
  <si>
    <t xml:space="preserve">  [Your habit here]</t>
  </si>
  <si>
    <t xml:space="preserve">  HABITS COMPLETED</t>
  </si>
  <si>
    <t xml:space="preserve">  ENERGY LOG — rate each day 1–5 (1=depleted, 5=peak)</t>
  </si>
  <si>
    <t xml:space="preserve">  MORNING energy</t>
  </si>
  <si>
    <t xml:space="preserve">  AFTERNOON energy</t>
  </si>
  <si>
    <t xml:space="preserve">  EVENING energy</t>
  </si>
  <si>
    <t xml:space="preserve">  OVERALL day score</t>
  </si>
  <si>
    <t xml:space="preserve">  WEEKLY REFLECTION (fill in Friday or Sunday)</t>
  </si>
  <si>
    <t xml:space="preserve">  What went well this week?</t>
  </si>
  <si>
    <t xml:space="preserve">  What didn't work — and why?</t>
  </si>
  <si>
    <t xml:space="preserve">  What do I want to do differently next week?</t>
  </si>
  <si>
    <t xml:space="preserve">  One thing I'm proud of:</t>
  </si>
  <si>
    <t>MONTHLY MONEY SNAPSHOT</t>
  </si>
  <si>
    <t xml:space="preserve">  MONTH / YEAR:</t>
  </si>
  <si>
    <t xml:space="preserve">  INCOME</t>
  </si>
  <si>
    <t>SOURCE</t>
  </si>
  <si>
    <t>BUDGETED</t>
  </si>
  <si>
    <t>ACTUAL</t>
  </si>
  <si>
    <t>DIFFERENCE</t>
  </si>
  <si>
    <t xml:space="preserve">  Primary salary / pay</t>
  </si>
  <si>
    <t xml:space="preserve">  Side income / freelance</t>
  </si>
  <si>
    <t xml:space="preserve">  Digital product sales</t>
  </si>
  <si>
    <t xml:space="preserve">  Other income</t>
  </si>
  <si>
    <t xml:space="preserve">  TOTAL INCOME</t>
  </si>
  <si>
    <t xml:space="preserve">  FIXED EXPENSES (same every month)</t>
  </si>
  <si>
    <t>EXPENSE</t>
  </si>
  <si>
    <t xml:space="preserve">  Rent / mortgage</t>
  </si>
  <si>
    <t xml:space="preserve">  Car payment</t>
  </si>
  <si>
    <t xml:space="preserve">  Insurance (health/car/life)</t>
  </si>
  <si>
    <t xml:space="preserve">  Subscriptions (list all)</t>
  </si>
  <si>
    <t xml:space="preserve">  Loan payments</t>
  </si>
  <si>
    <t xml:space="preserve">  Other fixed</t>
  </si>
  <si>
    <t xml:space="preserve">  TOTAL FIXED EXPENSES</t>
  </si>
  <si>
    <t xml:space="preserve">  VARIABLE EXPENSES (changes month to month)</t>
  </si>
  <si>
    <t xml:space="preserve">  Groceries</t>
  </si>
  <si>
    <t xml:space="preserve">  Gas / transportation</t>
  </si>
  <si>
    <t xml:space="preserve">  Dining out</t>
  </si>
  <si>
    <t xml:space="preserve">  Entertainment</t>
  </si>
  <si>
    <t xml:space="preserve">  Clothing / shopping</t>
  </si>
  <si>
    <t xml:space="preserve">  Personal care</t>
  </si>
  <si>
    <t xml:space="preserve">  Giving / charitable</t>
  </si>
  <si>
    <t xml:space="preserve">  Miscellaneous</t>
  </si>
  <si>
    <t xml:space="preserve">  TOTAL VARIABLE EXPENSES</t>
  </si>
  <si>
    <t xml:space="preserve">  SAVINGS TARGETS &amp; MONTHLY SUMMARY</t>
  </si>
  <si>
    <t xml:space="preserve">  Emergency fund contribution</t>
  </si>
  <si>
    <t xml:space="preserve">  Retirement / investment contribution</t>
  </si>
  <si>
    <t xml:space="preserve">  Short-term savings (travel, big purchase)</t>
  </si>
  <si>
    <t xml:space="preserve">  Sinking funds (irregular bills)</t>
  </si>
  <si>
    <t xml:space="preserve">  TOTAL SAVINGS</t>
  </si>
  <si>
    <t xml:space="preserve">  TOTAL INCOME (Budget)</t>
  </si>
  <si>
    <t xml:space="preserve">  TOTAL INCOME (Actual)</t>
  </si>
  <si>
    <t xml:space="preserve">  TOTAL EXPENSES (Budget)</t>
  </si>
  <si>
    <t xml:space="preserve">  TOTAL EXPENSES (Actual)</t>
  </si>
  <si>
    <t xml:space="preserve">  TOTAL SAVINGS (Budget)</t>
  </si>
  <si>
    <t xml:space="preserve">  SURPLUS / DEFICIT (Budget)</t>
  </si>
  <si>
    <t xml:space="preserve">  SURPLUS / DEFICIT (Actual)</t>
  </si>
  <si>
    <t>📊  MONTH-END HEALTH INDICATORS</t>
  </si>
  <si>
    <t>SAVINGS RATE
(Actual)</t>
  </si>
  <si>
    <t>EXPENSE RATIO
(Actual)</t>
  </si>
  <si>
    <t>NET CASH FLOW
(Actual)</t>
  </si>
  <si>
    <t>INCOME VS BUDGET</t>
  </si>
  <si>
    <t>GOALS DASHBOARD  —  90-DAY TRACKER</t>
  </si>
  <si>
    <t xml:space="preserve">  TIP: Review this tab every Sunday. Update progress %. When a goal hits 100%, mark it DONE and set a new one.</t>
  </si>
  <si>
    <t xml:space="preserve">  GOAL 1</t>
  </si>
  <si>
    <t xml:space="preserve">  GOAL:</t>
  </si>
  <si>
    <t>e.g., Land first data analyst role by end of quarter</t>
  </si>
  <si>
    <t xml:space="preserve">  START DATE:</t>
  </si>
  <si>
    <t xml:space="preserve">  TARGET DATE:</t>
  </si>
  <si>
    <t xml:space="preserve">  % COMPLETE:</t>
  </si>
  <si>
    <t>0%</t>
  </si>
  <si>
    <t xml:space="preserve">  WHY THIS GOAL MATTERS:</t>
  </si>
  <si>
    <t xml:space="preserve">  WEEK</t>
  </si>
  <si>
    <t>ACTION STEP</t>
  </si>
  <si>
    <t>DUE DATE</t>
  </si>
  <si>
    <t>DONE?</t>
  </si>
  <si>
    <t>NOTES</t>
  </si>
  <si>
    <t xml:space="preserve">  Week 1</t>
  </si>
  <si>
    <t xml:space="preserve">  Week 2</t>
  </si>
  <si>
    <t xml:space="preserve">  Week 3</t>
  </si>
  <si>
    <t xml:space="preserve">  Week 4</t>
  </si>
  <si>
    <t xml:space="preserve">  Week 5</t>
  </si>
  <si>
    <t xml:space="preserve">  Week 6</t>
  </si>
  <si>
    <t xml:space="preserve">  MONTHLY REVIEW NOTES:</t>
  </si>
  <si>
    <t xml:space="preserve">  GOAL 2</t>
  </si>
  <si>
    <t>e.g., Complete FAR section with 85%+ MCQ average</t>
  </si>
  <si>
    <t xml:space="preserve">  GOAL 3</t>
  </si>
  <si>
    <t>e.g., Pay off $4,200 credit card by month 3</t>
  </si>
  <si>
    <t>DAILY WINS &amp; GRATITUDE — 30-Day Log</t>
  </si>
  <si>
    <t xml:space="preserve">  3 minutes at the end of each day. The goal is not positivity — it is pattern recognition. What keeps showing up as a win? What keeps costing you energy?</t>
  </si>
  <si>
    <t>DATE</t>
  </si>
  <si>
    <t>3 WINS (one sentence each)</t>
  </si>
  <si>
    <t>3 GRATITUDES</t>
  </si>
  <si>
    <t>ONE LESSON / INSIGHT</t>
  </si>
  <si>
    <t>MOOD
1–5</t>
  </si>
  <si>
    <t>Day 1</t>
  </si>
  <si>
    <t>Day 2</t>
  </si>
  <si>
    <t>Day 3</t>
  </si>
  <si>
    <t>Day 4</t>
  </si>
  <si>
    <t>Day 5</t>
  </si>
  <si>
    <t>Day 6</t>
  </si>
  <si>
    <t>Day 7</t>
  </si>
  <si>
    <t>Day 8</t>
  </si>
  <si>
    <t>Day 9</t>
  </si>
  <si>
    <t>Day 10</t>
  </si>
  <si>
    <t>Day 11</t>
  </si>
  <si>
    <t>Day 12</t>
  </si>
  <si>
    <t>Day 13</t>
  </si>
  <si>
    <t>Day 14</t>
  </si>
  <si>
    <t>Day 15</t>
  </si>
  <si>
    <t>Day 16</t>
  </si>
  <si>
    <t>Day 17</t>
  </si>
  <si>
    <t>Day 18</t>
  </si>
  <si>
    <t>Day 19</t>
  </si>
  <si>
    <t>Day 20</t>
  </si>
  <si>
    <t>Day 21</t>
  </si>
  <si>
    <t>Day 22</t>
  </si>
  <si>
    <t>Day 23</t>
  </si>
  <si>
    <t>Day 24</t>
  </si>
  <si>
    <t>Day 25</t>
  </si>
  <si>
    <t>Day 26</t>
  </si>
  <si>
    <t>Day 27</t>
  </si>
  <si>
    <t>Day 28</t>
  </si>
  <si>
    <t>Day 29</t>
  </si>
  <si>
    <t>Day 30</t>
  </si>
  <si>
    <t xml:space="preserve">  AVERAGE MOOD — 30 DAYS</t>
  </si>
  <si>
    <t xml:space="preserve">  30-DAY REFLECTION — What pattern showed up?</t>
  </si>
  <si>
    <t xml:space="preserve">  What type of win showed up most often?</t>
  </si>
  <si>
    <t xml:space="preserve">  What are you consistently grateful for?</t>
  </si>
  <si>
    <t xml:space="preserve">  What lessons kept repeating?</t>
  </si>
  <si>
    <t xml:space="preserve">  What would you do differently in the next 30 days?</t>
  </si>
  <si>
    <t>📊  30-DAY REFLECTION STATS</t>
  </si>
  <si>
    <t>AVG MOOD (1–5)</t>
  </si>
  <si>
    <t>DAYS LOGGED</t>
  </si>
  <si>
    <t>HIGH MOOD DAYS
(≥4)</t>
  </si>
  <si>
    <t>LOW MOOD DAYS
(≤2)</t>
  </si>
  <si>
    <t>WINS LOGGED</t>
  </si>
  <si>
    <t>💸  DEBT TRACKER — SNOWBALL &amp; AVALANCHE</t>
  </si>
  <si>
    <t>📌  Enter debts in rows 9–18. SNOWBALL = smallest balance first (momentum wins). AVALANCHE = highest APR first (saves the most money). Change method in G5:H5. Extra payment in G6:H6 speeds up your payoff.</t>
  </si>
  <si>
    <t>⚙️  PAYOFF METHOD — type SNOWBALL or AVALANCHE in the yellow cell:</t>
  </si>
  <si>
    <t>SNOWBALL</t>
  </si>
  <si>
    <t>← type here</t>
  </si>
  <si>
    <t>💵  Extra monthly payment to throw at priority debt ($):</t>
  </si>
  <si>
    <t>CREDITOR / DEBT NAME</t>
  </si>
  <si>
    <t>CURRENT BALANCE</t>
  </si>
  <si>
    <t>INTEREST RATE (APR)</t>
  </si>
  <si>
    <t>MIN. PAYMENT</t>
  </si>
  <si>
    <t>MONTHS TO PAYOFF
(min pmt only)</t>
  </si>
  <si>
    <t>TOTAL INTEREST
(min pmt only)</t>
  </si>
  <si>
    <t>EST. PAYOFF DATE
(min pmt only)</t>
  </si>
  <si>
    <t>SNOWBALL
RANK</t>
  </si>
  <si>
    <t>AVALANCHE
RANK</t>
  </si>
  <si>
    <t>e.g. Credit Card 1</t>
  </si>
  <si>
    <t>e.g. Car Loan</t>
  </si>
  <si>
    <t>e.g. Student Loan</t>
  </si>
  <si>
    <t>e.g. Medical Bill</t>
  </si>
  <si>
    <t>e.g. Personal Loan</t>
  </si>
  <si>
    <t>TOTALS</t>
  </si>
  <si>
    <t>🎯  PRIORITY DEBT  (auto-selected by method in G5:H5)</t>
  </si>
  <si>
    <t>DEBT NAME</t>
  </si>
  <si>
    <t>BALANCE</t>
  </si>
  <si>
    <t>APR</t>
  </si>
  <si>
    <t>MIN PMT + EXTRA/MO</t>
  </si>
  <si>
    <t>EST. PAYOFF DATE</t>
  </si>
  <si>
    <t>📊  DEBT SUMMARY STATS</t>
  </si>
  <si>
    <t>Total Debt Balance</t>
  </si>
  <si>
    <t>Total Min Pmts/Mo</t>
  </si>
  <si>
    <t>Avg. APR</t>
  </si>
  <si>
    <t># of Debts</t>
  </si>
  <si>
    <t>"Know well the condition of your flocks." — Proverbs 27:23  |  Track it. Attack it. Pay it off.</t>
  </si>
  <si>
    <t>⚖️  SNOWBALL vs. AVALANCHE — SIDE-BY-SIDE COMPARISON</t>
  </si>
  <si>
    <t>METRIC</t>
  </si>
  <si>
    <t>SNOWBALL RESULT</t>
  </si>
  <si>
    <t>AVALANCHE RESULT</t>
  </si>
  <si>
    <t>Total Interest Paid</t>
  </si>
  <si>
    <t>Months to Debt-Free</t>
  </si>
  <si>
    <t>Est. Debt-Free Date</t>
  </si>
  <si>
    <t>Best Strategy For</t>
  </si>
  <si>
    <t>"Quick wins &amp; motivation — smallest balance first"</t>
  </si>
  <si>
    <t>"Math savings — highest APR first saves the most money"</t>
  </si>
  <si>
    <t>💡 INTEREST SAVED (Avalanche vs Snowball):</t>
  </si>
  <si>
    <t>"Know well the condition of your flocks." — Proverbs 27:23</t>
  </si>
  <si>
    <t>📈  PAYOFF TIMELINE — Month-by-Month Progress</t>
  </si>
  <si>
    <t>Enter debts on the 💸 Debt Tracker tab first. This sheet auto-calculates remaining balance each month.</t>
  </si>
  <si>
    <t>⚙️  Extra payment set in Debt Tracker (G6). Method toggled in G5. This timeline applies both to your payoff projection.</t>
  </si>
  <si>
    <t>📊  LIVE SNAPSHOT FROM YOUR DEBT TRACKER</t>
  </si>
  <si>
    <t>Total Debt</t>
  </si>
  <si>
    <t>Min Pmts/Mo</t>
  </si>
  <si>
    <t>Avg APR</t>
  </si>
  <si>
    <t>Extra Pmt</t>
  </si>
  <si>
    <t>📅  MONTH-BY-MONTH TRACKER (60 Months)</t>
  </si>
  <si>
    <t>MONTH #</t>
  </si>
  <si>
    <t>CALENDAR MONTH</t>
  </si>
  <si>
    <t>STARTING BALANCE</t>
  </si>
  <si>
    <t>TOTAL MIN PMT</t>
  </si>
  <si>
    <t>EXTRA PMT</t>
  </si>
  <si>
    <t>TOTAL PAID</t>
  </si>
  <si>
    <t>INTEREST CHARGED</t>
  </si>
  <si>
    <t>PRINCIPAL PAID</t>
  </si>
  <si>
    <t>REMAINING BALANCE</t>
  </si>
  <si>
    <t>% PAID OFF</t>
  </si>
  <si>
    <t>STATUS</t>
  </si>
  <si>
    <t>TOTAL INTEREST CHARGED (60 months):</t>
  </si>
  <si>
    <t>→ Add extra payments in Debt Tracker to cut this number.</t>
  </si>
  <si>
    <t>🧮  SNOWBALL vs. AVALANCHE — COMPLETE METHOD COMPARISON</t>
  </si>
  <si>
    <t>Both methods pull live from your 💸 Debt Tracker. See full priority order side-by-side and pick your strategy.</t>
  </si>
  <si>
    <t>❄️  SNOWBALL METHOD — Smallest Balance First</t>
  </si>
  <si>
    <t>🌋  AVALANCHE METHOD — Highest APR First</t>
  </si>
  <si>
    <t>MIN PMT</t>
  </si>
  <si>
    <t>PRIORITY</t>
  </si>
  <si>
    <t>INTEREST</t>
  </si>
  <si>
    <t>🏆  WHICH METHOD IS RIGHT FOR YOU?</t>
  </si>
  <si>
    <t>❄️  SNOWBALL</t>
  </si>
  <si>
    <t>Best when motivation is your challenge. Pay smallest debt first — quick wins keep you going.</t>
  </si>
  <si>
    <t>🌋  AVALANCHE</t>
  </si>
  <si>
    <t>Best when you want to pay the least interest. Highest APR first is mathematically optimal.</t>
  </si>
  <si>
    <t>💡  INTEREST SAVED (Avalanche vs Snowball)</t>
  </si>
  <si>
    <t>"Know well the condition of your flocks." — Proverbs 27:23  |  AnalyticsByShanikwa.com  |  Built from real work. Not theory.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</si>
</sst>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
    <numFmt numFmtId="166" formatCode="\$#,##0.00;&quot;($&quot;#,##0.00\);\-"/>
    <numFmt numFmtId="167" formatCode="0.0"/>
  </numFmts>
  <fonts count="71" x14ac:knownFonts="1">
    <font>
      <sz val="11"/>
      <color theme="1"/>
      <name val="Calibri"/>
      <family val="2"/>
      <charset val="1"/>
    </font>
    <font>
      <b/>
      <sz val="28"/>
      <color rgb="FFFFFFFF"/>
      <name val="Arial"/>
      <charset val="1"/>
    </font>
    <font>
      <i/>
      <sz val="12"/>
      <color rgb="FF475569"/>
      <name val="Arial"/>
      <charset val="1"/>
    </font>
    <font>
      <b/>
      <sz val="11"/>
      <color rgb="FFFFFFFF"/>
      <name val="Arial"/>
      <charset val="1"/>
    </font>
    <font>
      <sz val="11"/>
      <color rgb="FF0F172A"/>
      <name val="Arial"/>
      <charset val="1"/>
    </font>
    <font>
      <b/>
      <sz val="12"/>
      <color rgb="FF92400E"/>
      <name val="Arial"/>
      <charset val="1"/>
    </font>
    <font>
      <b/>
      <sz val="11"/>
      <color rgb="FF0F172A"/>
      <name val="Arial"/>
      <charset val="1"/>
    </font>
    <font>
      <sz val="10"/>
      <color rgb="FF0F172A"/>
      <name val="Arial"/>
      <charset val="1"/>
    </font>
    <font>
      <b/>
      <sz val="11"/>
      <color rgb="FF1E40AF"/>
      <name val="Arial"/>
      <charset val="1"/>
    </font>
    <font>
      <b/>
      <sz val="11"/>
      <color rgb="FF166534"/>
      <name val="Arial"/>
      <charset val="1"/>
    </font>
    <font>
      <b/>
      <sz val="11"/>
      <color rgb="FF4C1D95"/>
      <name val="Arial"/>
      <charset val="1"/>
    </font>
    <font>
      <b/>
      <sz val="11"/>
      <color rgb="FF92400E"/>
      <name val="Arial"/>
      <charset val="1"/>
    </font>
    <font>
      <b/>
      <sz val="10"/>
      <color rgb="FFFFFFFF"/>
      <name val="Arial"/>
      <charset val="1"/>
    </font>
    <font>
      <i/>
      <sz val="10"/>
      <color rgb="FF475569"/>
      <name val="Arial"/>
      <charset val="1"/>
    </font>
    <font>
      <b/>
      <sz val="22"/>
      <color rgb="FFFFFFFF"/>
      <name val="Arial"/>
      <charset val="1"/>
    </font>
    <font>
      <b/>
      <sz val="14"/>
      <color rgb="FFFFFFFF"/>
      <name val="Arial"/>
      <charset val="1"/>
    </font>
    <font>
      <b/>
      <sz val="9"/>
      <color rgb="FFFFFFFF"/>
      <name val="Arial"/>
      <charset val="1"/>
    </font>
    <font>
      <sz val="14"/>
      <color rgb="FF166534"/>
      <name val="Arial"/>
      <charset val="1"/>
    </font>
    <font>
      <i/>
      <sz val="10"/>
      <color rgb="FFCBD5E1"/>
      <name val="Arial"/>
      <charset val="1"/>
    </font>
    <font>
      <b/>
      <sz val="10"/>
      <color rgb="FF0F172A"/>
      <name val="Arial"/>
      <charset val="1"/>
    </font>
    <font>
      <b/>
      <sz val="10"/>
      <color rgb="FF92400E"/>
      <name val="Arial"/>
      <charset val="1"/>
    </font>
    <font>
      <sz val="10"/>
      <color rgb="FF166534"/>
      <name val="Arial"/>
      <charset val="1"/>
    </font>
    <font>
      <b/>
      <sz val="12"/>
      <color rgb="FFFFFFFF"/>
      <name val="Arial"/>
      <charset val="1"/>
    </font>
    <font>
      <b/>
      <sz val="9"/>
      <color rgb="FF166534"/>
      <name val="Arial"/>
      <charset val="1"/>
    </font>
    <font>
      <b/>
      <sz val="9"/>
      <color rgb="FF991B1B"/>
      <name val="Arial"/>
      <charset val="1"/>
    </font>
    <font>
      <b/>
      <sz val="9"/>
      <color rgb="FF0F172A"/>
      <name val="Arial"/>
      <charset val="1"/>
    </font>
    <font>
      <b/>
      <sz val="9"/>
      <color rgb="FF1E40AF"/>
      <name val="Arial"/>
      <charset val="1"/>
    </font>
    <font>
      <b/>
      <sz val="13"/>
      <color rgb="FF166534"/>
      <name val="Arial"/>
      <charset val="1"/>
    </font>
    <font>
      <b/>
      <sz val="13"/>
      <color rgb="FF991B1B"/>
      <name val="Arial"/>
      <charset val="1"/>
    </font>
    <font>
      <b/>
      <sz val="13"/>
      <color rgb="FF0F172A"/>
      <name val="Arial"/>
      <charset val="1"/>
    </font>
    <font>
      <b/>
      <sz val="13"/>
      <color rgb="FF1E40AF"/>
      <name val="Arial"/>
      <charset val="1"/>
    </font>
    <font>
      <i/>
      <sz val="11"/>
      <color rgb="FFCBD5E1"/>
      <name val="Arial"/>
      <charset val="1"/>
    </font>
    <font>
      <b/>
      <sz val="14"/>
      <color rgb="FF1E40AF"/>
      <name val="Arial"/>
      <charset val="1"/>
    </font>
    <font>
      <b/>
      <sz val="10"/>
      <color rgb="FF1E40AF"/>
      <name val="Arial"/>
      <charset val="1"/>
    </font>
    <font>
      <sz val="11"/>
      <color rgb="FF166534"/>
      <name val="Arial"/>
      <charset val="1"/>
    </font>
    <font>
      <b/>
      <sz val="14"/>
      <color rgb="FF166534"/>
      <name val="Arial"/>
      <charset val="1"/>
    </font>
    <font>
      <b/>
      <sz val="10"/>
      <color rgb="FF166534"/>
      <name val="Arial"/>
      <charset val="1"/>
    </font>
    <font>
      <b/>
      <sz val="14"/>
      <color rgb="FF4C1D95"/>
      <name val="Arial"/>
      <charset val="1"/>
    </font>
    <font>
      <b/>
      <sz val="10"/>
      <color rgb="FF4C1D95"/>
      <name val="Arial"/>
      <charset val="1"/>
    </font>
    <font>
      <b/>
      <sz val="20"/>
      <color rgb="FFFFFFFF"/>
      <name val="Arial"/>
      <charset val="1"/>
    </font>
    <font>
      <b/>
      <sz val="14"/>
      <color rgb="FF7B6FB8"/>
      <name val="Arial"/>
      <charset val="1"/>
    </font>
    <font>
      <b/>
      <sz val="10"/>
      <color rgb="FF475569"/>
      <name val="Arial"/>
      <charset val="1"/>
    </font>
    <font>
      <b/>
      <sz val="9"/>
      <color rgb="FF334155"/>
      <name val="Arial"/>
      <charset val="1"/>
    </font>
    <font>
      <b/>
      <sz val="15"/>
      <color rgb="FFFFFFFF"/>
      <name val="Arial"/>
      <charset val="1"/>
    </font>
    <font>
      <i/>
      <sz val="9"/>
      <color rgb="FF94A3B8"/>
      <name val="Arial"/>
      <charset val="1"/>
    </font>
    <font>
      <sz val="9"/>
      <color rgb="FF334155"/>
      <name val="Arial"/>
      <charset val="1"/>
    </font>
    <font>
      <b/>
      <sz val="12"/>
      <color rgb="FF0F172A"/>
      <name val="Arial"/>
      <charset val="1"/>
    </font>
    <font>
      <i/>
      <sz val="9"/>
      <color rgb="FF6B7280"/>
      <name val="Arial"/>
      <charset val="1"/>
    </font>
    <font>
      <b/>
      <sz val="12"/>
      <color rgb="FF1E40AF"/>
      <name val="Arial"/>
      <charset val="1"/>
    </font>
    <font>
      <i/>
      <sz val="10"/>
      <color rgb="FF334155"/>
      <name val="Arial"/>
      <charset val="1"/>
    </font>
    <font>
      <sz val="10"/>
      <color rgb="FF1E40AF"/>
      <name val="Arial"/>
      <charset val="1"/>
    </font>
    <font>
      <sz val="10"/>
      <color rgb="FF92400E"/>
      <name val="Arial"/>
      <charset val="1"/>
    </font>
    <font>
      <sz val="10"/>
      <color rgb="FF334155"/>
      <name val="Arial"/>
      <charset val="1"/>
    </font>
    <font>
      <sz val="10"/>
      <color rgb="FF991B1B"/>
      <name val="Arial"/>
      <charset val="1"/>
    </font>
    <font>
      <b/>
      <sz val="12"/>
      <color rgb="FF3B82F6"/>
      <name val="Arial"/>
      <charset val="1"/>
    </font>
    <font>
      <b/>
      <sz val="12"/>
      <color rgb="FF991B1B"/>
      <name val="Arial"/>
      <charset val="1"/>
    </font>
    <font>
      <b/>
      <sz val="12"/>
      <color rgb="FF166534"/>
      <name val="Arial"/>
      <charset val="1"/>
    </font>
    <font>
      <b/>
      <sz val="12"/>
      <color rgb="FF334155"/>
      <name val="Arial"/>
      <charset val="1"/>
    </font>
    <font>
      <b/>
      <sz val="14"/>
      <color rgb="FF0F172A"/>
      <name val="Arial"/>
      <charset val="1"/>
    </font>
    <font>
      <i/>
      <sz val="9"/>
      <color rgb="FF475569"/>
      <name val="Arial"/>
      <charset val="1"/>
    </font>
    <font>
      <i/>
      <sz val="9"/>
      <color rgb="FF64748B"/>
      <name val="Arial"/>
      <charset val="1"/>
    </font>
    <font>
      <sz val="9"/>
      <color rgb="FF0F172A"/>
      <name val="Arial"/>
      <charset val="1"/>
    </font>
    <font>
      <b/>
      <sz val="11"/>
      <color rgb="FF3B82F6"/>
      <name val="Arial"/>
      <charset val="1"/>
    </font>
    <font>
      <sz val="10"/>
      <color rgb="FF64748B"/>
      <name val="Arial"/>
      <charset val="1"/>
    </font>
    <font>
      <b/>
      <sz val="10"/>
      <color rgb="FF3B82F6"/>
      <name val="Arial"/>
      <charset val="1"/>
    </font>
    <font>
      <sz val="10"/>
      <color rgb="FFDC2626"/>
      <name val="Arial"/>
      <charset val="1"/>
    </font>
    <font>
      <sz val="10"/>
      <color rgb="FF3B82F6"/>
      <name val="Arial"/>
      <charset val="1"/>
    </font>
    <font>
      <b/>
      <sz val="13"/>
      <color rgb="FFDC2626"/>
      <name val="Arial"/>
      <charset val="1"/>
    </font>
    <font>
      <sz val="10"/>
      <color rgb="FF7B6FB8"/>
      <name val="Arial"/>
      <charset val="1"/>
    </font>
    <font>
      <i/>
      <sz val="10"/>
      <color rgb="FF166534"/>
      <name val="Arial"/>
      <charset val="1"/>
    </font>
    <font>
      <i/>
      <sz val="10"/>
      <color rgb="FF1E40AF"/>
      <name val="Arial"/>
      <charset val="1"/>
    </font>
  </fonts>
  <fills count="23">
    <fill>
      <patternFill patternType="none"/>
    </fill>
    <fill>
      <patternFill patternType="gray125"/>
    </fill>
    <fill>
      <patternFill patternType="solid">
        <fgColor rgb="FF0F172A"/>
        <bgColor rgb="FF000000"/>
      </patternFill>
    </fill>
    <fill>
      <patternFill patternType="solid">
        <fgColor rgb="FF3B82F6"/>
        <bgColor rgb="FF0066CC"/>
      </patternFill>
    </fill>
    <fill>
      <patternFill patternType="solid">
        <fgColor rgb="FFF8FAFC"/>
        <bgColor rgb="FFFFFFFF"/>
      </patternFill>
    </fill>
    <fill>
      <patternFill patternType="solid">
        <fgColor rgb="FFDBEAFE"/>
        <bgColor rgb="FFE2E8F0"/>
      </patternFill>
    </fill>
    <fill>
      <patternFill patternType="solid">
        <fgColor rgb="FFD97706"/>
        <bgColor rgb="FFFF9900"/>
      </patternFill>
    </fill>
    <fill>
      <patternFill patternType="solid">
        <fgColor rgb="FFFEF3C7"/>
        <bgColor rgb="FFFFF9C4"/>
      </patternFill>
    </fill>
    <fill>
      <patternFill patternType="solid">
        <fgColor rgb="FFFFFFFF"/>
        <bgColor rgb="FFF8FAFC"/>
      </patternFill>
    </fill>
    <fill>
      <patternFill patternType="solid">
        <fgColor rgb="FFDCFCE7"/>
        <bgColor rgb="FFF0FDF4"/>
      </patternFill>
    </fill>
    <fill>
      <patternFill patternType="solid">
        <fgColor rgb="FFEDE9FE"/>
        <bgColor rgb="FFE2E8F0"/>
      </patternFill>
    </fill>
    <fill>
      <patternFill patternType="solid">
        <fgColor rgb="FFF1F5F9"/>
        <bgColor rgb="FFEFF6FF"/>
      </patternFill>
    </fill>
    <fill>
      <patternFill patternType="solid">
        <fgColor rgb="FF7B6FB8"/>
        <bgColor rgb="FF64748B"/>
      </patternFill>
    </fill>
    <fill>
      <patternFill patternType="solid">
        <fgColor rgb="FF10B981"/>
        <bgColor rgb="FF33CCCC"/>
      </patternFill>
    </fill>
    <fill>
      <patternFill patternType="solid">
        <fgColor rgb="FFFEE2E2"/>
        <bgColor rgb="FFFFF1F2"/>
      </patternFill>
    </fill>
    <fill>
      <patternFill patternType="solid">
        <fgColor rgb="FFF0FDF4"/>
        <bgColor rgb="FFF8FAFC"/>
      </patternFill>
    </fill>
    <fill>
      <patternFill patternType="solid">
        <fgColor rgb="FFEFF6FF"/>
        <bgColor rgb="FFF1F5F9"/>
      </patternFill>
    </fill>
    <fill>
      <patternFill patternType="solid">
        <fgColor rgb="FFFFFBEB"/>
        <bgColor rgb="FFF8FAFC"/>
      </patternFill>
    </fill>
    <fill>
      <patternFill patternType="solid">
        <fgColor rgb="FFFFF1F2"/>
        <bgColor rgb="FFFFFBEB"/>
      </patternFill>
    </fill>
    <fill>
      <patternFill patternType="solid">
        <fgColor rgb="FF334155"/>
        <bgColor rgb="FF475569"/>
      </patternFill>
    </fill>
    <fill>
      <patternFill patternType="solid">
        <fgColor rgb="FFE2E8F0"/>
        <bgColor rgb="FFDBEAFE"/>
      </patternFill>
    </fill>
    <fill>
      <patternFill patternType="solid">
        <fgColor rgb="FF1E40AF"/>
        <bgColor rgb="FF003366"/>
      </patternFill>
    </fill>
    <fill>
      <patternFill patternType="solid">
        <fgColor rgb="FFFFF9C4"/>
        <bgColor rgb="FFFEF3C7"/>
      </patternFill>
    </fill>
  </fills>
  <borders count="6">
    <border>
      <left/>
      <right/>
      <top/>
      <bottom/>
      <diagonal/>
    </border>
    <border>
      <left style="thin">
        <color rgb="FFD1D5DB"/>
      </left>
      <right style="thin">
        <color rgb="FFD1D5DB"/>
      </right>
      <top style="thin">
        <color rgb="FFD1D5DB"/>
      </top>
      <bottom style="thin">
        <color rgb="FFD1D5DB"/>
      </bottom>
      <diagonal/>
    </border>
    <border>
      <left style="thin">
        <color rgb="FFD1D5DB"/>
      </left>
      <right/>
      <top style="thin">
        <color rgb="FFD1D5DB"/>
      </top>
      <bottom style="thin">
        <color rgb="FFD1D5DB"/>
      </bottom>
      <diagonal/>
    </border>
    <border>
      <left style="thin">
        <color rgb="FFCCCCCC"/>
      </left>
      <right style="thin">
        <color rgb="FFCCCCCC"/>
      </right>
      <top style="thin">
        <color rgb="FFCCCCCC"/>
      </top>
      <bottom style="thin">
        <color rgb="FFCCCCCC"/>
      </bottom>
      <diagonal/>
    </border>
    <border>
      <left style="medium">
        <color rgb="FF3B82F6"/>
      </left>
      <right/>
      <top style="medium">
        <color rgb="FF3B82F6"/>
      </top>
      <bottom style="medium">
        <color rgb="FF3B82F6"/>
      </bottom>
      <diagonal/>
    </border>
    <border>
      <left style="thin">
        <color rgb="FFCCCCCC"/>
      </left>
      <right/>
      <top style="thin">
        <color rgb="FFCCCCCC"/>
      </top>
      <bottom style="thin">
        <color rgb="FFCCCCCC"/>
      </bottom>
      <diagonal/>
    </border>
  </borders>
  <cellStyleXfs count="1">
    <xf numFmtId="0" fontId="0" fillId="0" borderId="0"/>
  </cellStyleXfs>
  <cellXfs count="257">
    <xf numFmtId="0" fontId="0" fillId="0" borderId="0" xfId="0"/>
    <xf numFmtId="0" fontId="7" fillId="7" borderId="2" xfId="0" applyFont="1" applyFill="1" applyBorder="1" applyAlignment="1">
      <alignment horizontal="left" vertical="center" wrapText="1"/>
    </xf>
    <xf numFmtId="0" fontId="7" fillId="10" borderId="2" xfId="0" applyFont="1" applyFill="1" applyBorder="1" applyAlignment="1">
      <alignment horizontal="left" vertical="center" wrapText="1"/>
    </xf>
    <xf numFmtId="0" fontId="7" fillId="9" borderId="2" xfId="0" applyFont="1" applyFill="1" applyBorder="1" applyAlignment="1">
      <alignment horizontal="left" vertical="center" wrapText="1"/>
    </xf>
    <xf numFmtId="0" fontId="7" fillId="5" borderId="2" xfId="0" applyFont="1" applyFill="1" applyBorder="1" applyAlignment="1">
      <alignment horizontal="left" vertical="center" wrapText="1"/>
    </xf>
    <xf numFmtId="0" fontId="7" fillId="4" borderId="2" xfId="0" applyFont="1" applyFill="1" applyBorder="1" applyAlignment="1">
      <alignment horizontal="left" vertical="center" wrapText="1"/>
    </xf>
    <xf numFmtId="0" fontId="3" fillId="2" borderId="0" xfId="0" applyFont="1" applyFill="1" applyAlignment="1">
      <alignment horizontal="left" vertical="center"/>
    </xf>
    <xf numFmtId="0" fontId="5" fillId="7" borderId="0" xfId="0" applyFont="1" applyFill="1" applyAlignment="1">
      <alignment horizontal="left" vertical="top" wrapText="1"/>
    </xf>
    <xf numFmtId="0" fontId="3" fillId="6" borderId="0" xfId="0" applyFont="1" applyFill="1" applyAlignment="1">
      <alignment horizontal="left" vertical="center"/>
    </xf>
    <xf numFmtId="0" fontId="4" fillId="5" borderId="0" xfId="0" applyFont="1" applyFill="1" applyAlignment="1">
      <alignment horizontal="left" vertical="top" wrapText="1"/>
    </xf>
    <xf numFmtId="0" fontId="3" fillId="3" borderId="0" xfId="0" applyFont="1" applyFill="1" applyAlignment="1">
      <alignment horizontal="left" vertical="center"/>
    </xf>
    <xf numFmtId="0" fontId="2" fillId="4" borderId="0" xfId="0" applyFont="1" applyFill="1" applyAlignment="1">
      <alignment horizontal="center" vertical="center"/>
    </xf>
    <xf numFmtId="0" fontId="0" fillId="3" borderId="0" xfId="0" applyFill="1"/>
    <xf numFmtId="0" fontId="1" fillId="2" borderId="0" xfId="0" applyFont="1" applyFill="1" applyAlignment="1">
      <alignment horizontal="center" vertical="center" wrapText="1"/>
    </xf>
    <xf numFmtId="0" fontId="0" fillId="0" borderId="0" xfId="0"/>
    <xf numFmtId="0" fontId="6" fillId="8" borderId="1" xfId="0" applyFont="1" applyFill="1" applyBorder="1" applyAlignment="1">
      <alignment horizontal="left" vertical="center"/>
    </xf>
    <xf numFmtId="0" fontId="8" fillId="5" borderId="1" xfId="0" applyFont="1" applyFill="1" applyBorder="1" applyAlignment="1">
      <alignment horizontal="left" vertical="center"/>
    </xf>
    <xf numFmtId="0" fontId="9" fillId="9" borderId="1" xfId="0" applyFont="1" applyFill="1" applyBorder="1" applyAlignment="1">
      <alignment horizontal="left" vertical="center"/>
    </xf>
    <xf numFmtId="0" fontId="10" fillId="10" borderId="1" xfId="0" applyFont="1" applyFill="1" applyBorder="1" applyAlignment="1">
      <alignment horizontal="left" vertical="center"/>
    </xf>
    <xf numFmtId="0" fontId="11" fillId="7" borderId="1" xfId="0" applyFont="1" applyFill="1" applyBorder="1" applyAlignment="1">
      <alignment horizontal="left" vertical="center"/>
    </xf>
    <xf numFmtId="0" fontId="12" fillId="3" borderId="1" xfId="0" applyFont="1" applyFill="1" applyBorder="1" applyAlignment="1">
      <alignment horizontal="center" vertical="center"/>
    </xf>
    <xf numFmtId="0" fontId="12" fillId="3" borderId="0" xfId="0" applyFont="1" applyFill="1" applyAlignment="1">
      <alignment horizontal="left" vertical="center"/>
    </xf>
    <xf numFmtId="0" fontId="15" fillId="3" borderId="0" xfId="0" applyFont="1" applyFill="1" applyAlignment="1">
      <alignment horizontal="center" vertical="center"/>
    </xf>
    <xf numFmtId="0" fontId="12" fillId="2" borderId="0" xfId="0" applyFont="1" applyFill="1" applyAlignment="1">
      <alignment horizontal="center" vertical="center"/>
    </xf>
    <xf numFmtId="0" fontId="12" fillId="12" borderId="0" xfId="0" applyFont="1" applyFill="1" applyAlignment="1">
      <alignment horizontal="center" vertical="center"/>
    </xf>
    <xf numFmtId="0" fontId="16" fillId="2" borderId="0" xfId="0" applyFont="1" applyFill="1" applyAlignment="1">
      <alignment horizontal="center" vertical="center" wrapText="1"/>
    </xf>
    <xf numFmtId="0" fontId="7" fillId="11" borderId="1" xfId="0" applyFont="1" applyFill="1" applyBorder="1" applyAlignment="1">
      <alignment horizontal="left" vertical="top" wrapText="1"/>
    </xf>
    <xf numFmtId="0" fontId="7" fillId="10" borderId="1" xfId="0" applyFont="1" applyFill="1" applyBorder="1" applyAlignment="1">
      <alignment horizontal="left" vertical="top" wrapText="1"/>
    </xf>
    <xf numFmtId="0" fontId="7" fillId="8" borderId="1" xfId="0" applyFont="1" applyFill="1" applyBorder="1" applyAlignment="1">
      <alignment horizontal="left" vertical="top" wrapText="1"/>
    </xf>
    <xf numFmtId="0" fontId="7" fillId="11" borderId="1" xfId="0" applyFont="1" applyFill="1" applyBorder="1" applyAlignment="1">
      <alignment horizontal="left" vertical="center"/>
    </xf>
    <xf numFmtId="0" fontId="17" fillId="11" borderId="1" xfId="0" applyFont="1" applyFill="1" applyBorder="1" applyAlignment="1">
      <alignment horizontal="center" vertical="center"/>
    </xf>
    <xf numFmtId="0" fontId="17" fillId="10" borderId="1" xfId="0" applyFont="1" applyFill="1" applyBorder="1" applyAlignment="1">
      <alignment horizontal="center" vertical="center"/>
    </xf>
    <xf numFmtId="0" fontId="7" fillId="8" borderId="1" xfId="0" applyFont="1" applyFill="1" applyBorder="1" applyAlignment="1">
      <alignment horizontal="left" vertical="center"/>
    </xf>
    <xf numFmtId="0" fontId="17" fillId="8" borderId="1" xfId="0" applyFont="1" applyFill="1" applyBorder="1" applyAlignment="1">
      <alignment horizontal="center" vertical="center"/>
    </xf>
    <xf numFmtId="0" fontId="18" fillId="8" borderId="1" xfId="0" applyFont="1" applyFill="1" applyBorder="1" applyAlignment="1">
      <alignment horizontal="left" vertical="center"/>
    </xf>
    <xf numFmtId="0" fontId="18" fillId="11" borderId="1" xfId="0" applyFont="1" applyFill="1" applyBorder="1" applyAlignment="1">
      <alignment horizontal="left" vertical="center"/>
    </xf>
    <xf numFmtId="0" fontId="12" fillId="13" borderId="0" xfId="0" applyFont="1" applyFill="1" applyAlignment="1">
      <alignment horizontal="left" vertical="center"/>
    </xf>
    <xf numFmtId="0" fontId="9" fillId="9" borderId="1" xfId="0" applyFont="1" applyFill="1" applyBorder="1" applyAlignment="1">
      <alignment horizontal="center" vertical="center"/>
    </xf>
    <xf numFmtId="0" fontId="7" fillId="7" borderId="1" xfId="0" applyFont="1" applyFill="1" applyBorder="1" applyAlignment="1">
      <alignment horizontal="left" vertical="center"/>
    </xf>
    <xf numFmtId="0" fontId="4" fillId="7" borderId="1" xfId="0" applyFont="1" applyFill="1" applyBorder="1" applyAlignment="1">
      <alignment horizontal="center" vertical="center"/>
    </xf>
    <xf numFmtId="0" fontId="4" fillId="8" borderId="1" xfId="0" applyFont="1" applyFill="1" applyBorder="1" applyAlignment="1">
      <alignment horizontal="center" vertical="center"/>
    </xf>
    <xf numFmtId="0" fontId="19" fillId="8" borderId="1" xfId="0" applyFont="1" applyFill="1" applyBorder="1" applyAlignment="1">
      <alignment horizontal="left" vertical="center"/>
    </xf>
    <xf numFmtId="0" fontId="20" fillId="7" borderId="1" xfId="0" applyFont="1" applyFill="1" applyBorder="1" applyAlignment="1">
      <alignment horizontal="center" vertical="center"/>
    </xf>
    <xf numFmtId="0" fontId="7" fillId="9" borderId="1" xfId="0" applyFont="1" applyFill="1" applyBorder="1" applyAlignment="1">
      <alignment horizontal="left" vertical="center"/>
    </xf>
    <xf numFmtId="164" fontId="7" fillId="9" borderId="1" xfId="0" applyNumberFormat="1" applyFont="1" applyFill="1" applyBorder="1" applyAlignment="1">
      <alignment horizontal="center" vertical="center"/>
    </xf>
    <xf numFmtId="164" fontId="21" fillId="9" borderId="1" xfId="0" applyNumberFormat="1" applyFont="1" applyFill="1" applyBorder="1" applyAlignment="1">
      <alignment horizontal="center" vertical="center"/>
    </xf>
    <xf numFmtId="164" fontId="7" fillId="8" borderId="1" xfId="0" applyNumberFormat="1" applyFont="1" applyFill="1" applyBorder="1" applyAlignment="1">
      <alignment horizontal="center" vertical="center"/>
    </xf>
    <xf numFmtId="164" fontId="21" fillId="8" borderId="1" xfId="0" applyNumberFormat="1" applyFont="1" applyFill="1" applyBorder="1" applyAlignment="1">
      <alignment horizontal="center" vertical="center"/>
    </xf>
    <xf numFmtId="0" fontId="3" fillId="13" borderId="1" xfId="0" applyFont="1" applyFill="1" applyBorder="1" applyAlignment="1">
      <alignment horizontal="left" vertical="center"/>
    </xf>
    <xf numFmtId="164" fontId="3" fillId="13" borderId="1" xfId="0" applyNumberFormat="1" applyFont="1" applyFill="1" applyBorder="1" applyAlignment="1">
      <alignment horizontal="center" vertical="center"/>
    </xf>
    <xf numFmtId="0" fontId="12" fillId="3" borderId="0" xfId="0" applyFont="1" applyFill="1" applyAlignment="1">
      <alignment horizontal="center" vertical="center"/>
    </xf>
    <xf numFmtId="0" fontId="7" fillId="5" borderId="1" xfId="0" applyFont="1" applyFill="1" applyBorder="1" applyAlignment="1">
      <alignment horizontal="left" vertical="center"/>
    </xf>
    <xf numFmtId="164" fontId="7" fillId="5" borderId="1" xfId="0" applyNumberFormat="1" applyFont="1" applyFill="1" applyBorder="1" applyAlignment="1">
      <alignment horizontal="center" vertical="center"/>
    </xf>
    <xf numFmtId="0" fontId="3" fillId="3" borderId="1" xfId="0" applyFont="1" applyFill="1" applyBorder="1" applyAlignment="1">
      <alignment horizontal="left" vertical="center"/>
    </xf>
    <xf numFmtId="164" fontId="3" fillId="3" borderId="1" xfId="0" applyNumberFormat="1" applyFont="1" applyFill="1" applyBorder="1" applyAlignment="1">
      <alignment horizontal="center" vertical="center"/>
    </xf>
    <xf numFmtId="0" fontId="7" fillId="10" borderId="1" xfId="0" applyFont="1" applyFill="1" applyBorder="1" applyAlignment="1">
      <alignment horizontal="left" vertical="center"/>
    </xf>
    <xf numFmtId="164" fontId="7" fillId="10" borderId="1" xfId="0" applyNumberFormat="1" applyFont="1" applyFill="1" applyBorder="1" applyAlignment="1">
      <alignment horizontal="center" vertical="center"/>
    </xf>
    <xf numFmtId="0" fontId="3" fillId="12" borderId="1" xfId="0" applyFont="1" applyFill="1" applyBorder="1" applyAlignment="1">
      <alignment horizontal="left" vertical="center"/>
    </xf>
    <xf numFmtId="164" fontId="3" fillId="12" borderId="1" xfId="0" applyNumberFormat="1" applyFont="1" applyFill="1" applyBorder="1" applyAlignment="1">
      <alignment horizontal="center" vertical="center"/>
    </xf>
    <xf numFmtId="164" fontId="7" fillId="7" borderId="1" xfId="0" applyNumberFormat="1" applyFont="1" applyFill="1" applyBorder="1" applyAlignment="1">
      <alignment horizontal="center" vertical="center"/>
    </xf>
    <xf numFmtId="0" fontId="3" fillId="6" borderId="1" xfId="0" applyFont="1" applyFill="1" applyBorder="1" applyAlignment="1">
      <alignment horizontal="left" vertical="center"/>
    </xf>
    <xf numFmtId="164" fontId="3" fillId="6" borderId="1" xfId="0" applyNumberFormat="1" applyFont="1" applyFill="1" applyBorder="1" applyAlignment="1">
      <alignment horizontal="center" vertical="center"/>
    </xf>
    <xf numFmtId="0" fontId="12" fillId="13" borderId="1" xfId="0" applyFont="1" applyFill="1" applyBorder="1" applyAlignment="1">
      <alignment horizontal="left" vertical="center"/>
    </xf>
    <xf numFmtId="0" fontId="12" fillId="3" borderId="1" xfId="0" applyFont="1" applyFill="1" applyBorder="1" applyAlignment="1">
      <alignment horizontal="left" vertical="center"/>
    </xf>
    <xf numFmtId="0" fontId="12" fillId="6" borderId="1" xfId="0" applyFont="1" applyFill="1" applyBorder="1" applyAlignment="1">
      <alignment horizontal="left" vertical="center"/>
    </xf>
    <xf numFmtId="0" fontId="12" fillId="2" borderId="1" xfId="0" applyFont="1" applyFill="1" applyBorder="1" applyAlignment="1">
      <alignment horizontal="left" vertical="center"/>
    </xf>
    <xf numFmtId="0" fontId="23" fillId="9" borderId="3" xfId="0" applyFont="1" applyFill="1" applyBorder="1" applyAlignment="1">
      <alignment horizontal="center" vertical="center" wrapText="1"/>
    </xf>
    <xf numFmtId="0" fontId="24" fillId="14" borderId="3" xfId="0" applyFont="1" applyFill="1" applyBorder="1" applyAlignment="1">
      <alignment horizontal="center" vertical="center" wrapText="1"/>
    </xf>
    <xf numFmtId="0" fontId="25" fillId="11" borderId="3" xfId="0" applyFont="1" applyFill="1" applyBorder="1" applyAlignment="1">
      <alignment horizontal="center" vertical="center" wrapText="1"/>
    </xf>
    <xf numFmtId="0" fontId="26" fillId="5" borderId="3" xfId="0" applyFont="1" applyFill="1" applyBorder="1" applyAlignment="1">
      <alignment horizontal="center" vertical="center" wrapText="1"/>
    </xf>
    <xf numFmtId="165" fontId="27" fillId="8" borderId="3" xfId="0" applyNumberFormat="1" applyFont="1" applyFill="1" applyBorder="1" applyAlignment="1">
      <alignment horizontal="center" vertical="center" wrapText="1"/>
    </xf>
    <xf numFmtId="165" fontId="28" fillId="8" borderId="3" xfId="0" applyNumberFormat="1" applyFont="1" applyFill="1" applyBorder="1" applyAlignment="1">
      <alignment horizontal="center" vertical="center" wrapText="1"/>
    </xf>
    <xf numFmtId="166" fontId="29" fillId="8" borderId="3" xfId="0" applyNumberFormat="1" applyFont="1" applyFill="1" applyBorder="1" applyAlignment="1">
      <alignment horizontal="center" vertical="center" wrapText="1"/>
    </xf>
    <xf numFmtId="165" fontId="30" fillId="8" borderId="3" xfId="0" applyNumberFormat="1" applyFont="1" applyFill="1" applyBorder="1" applyAlignment="1">
      <alignment horizontal="center" vertical="center" wrapText="1"/>
    </xf>
    <xf numFmtId="0" fontId="16" fillId="3" borderId="0" xfId="0" applyFont="1" applyFill="1" applyAlignment="1">
      <alignment horizontal="left" vertical="center"/>
    </xf>
    <xf numFmtId="0" fontId="7" fillId="5" borderId="1" xfId="0" applyFont="1" applyFill="1" applyBorder="1" applyAlignment="1">
      <alignment horizontal="center" vertical="center"/>
    </xf>
    <xf numFmtId="9" fontId="32" fillId="5" borderId="1" xfId="0" applyNumberFormat="1" applyFont="1" applyFill="1" applyBorder="1" applyAlignment="1">
      <alignment horizontal="center" vertical="center"/>
    </xf>
    <xf numFmtId="0" fontId="16" fillId="2" borderId="0" xfId="0" applyFont="1" applyFill="1" applyAlignment="1">
      <alignment horizontal="center" vertical="center"/>
    </xf>
    <xf numFmtId="0" fontId="33" fillId="5" borderId="1" xfId="0" applyFont="1" applyFill="1" applyBorder="1" applyAlignment="1">
      <alignment horizontal="center" vertical="center"/>
    </xf>
    <xf numFmtId="0" fontId="7" fillId="5" borderId="1" xfId="0" applyFont="1" applyFill="1" applyBorder="1" applyAlignment="1">
      <alignment horizontal="left" vertical="center" wrapText="1"/>
    </xf>
    <xf numFmtId="0" fontId="0" fillId="5" borderId="1" xfId="0" applyFill="1" applyBorder="1"/>
    <xf numFmtId="0" fontId="0" fillId="5" borderId="1" xfId="0" applyFill="1" applyBorder="1" applyAlignment="1">
      <alignment horizontal="center" vertical="center"/>
    </xf>
    <xf numFmtId="0" fontId="34" fillId="5" borderId="1" xfId="0" applyFont="1" applyFill="1" applyBorder="1" applyAlignment="1">
      <alignment horizontal="center" vertical="center"/>
    </xf>
    <xf numFmtId="0" fontId="0" fillId="5" borderId="1" xfId="0" applyFill="1" applyBorder="1" applyAlignment="1">
      <alignment horizontal="left" vertical="center"/>
    </xf>
    <xf numFmtId="0" fontId="33" fillId="8" borderId="1" xfId="0" applyFont="1" applyFill="1" applyBorder="1" applyAlignment="1">
      <alignment horizontal="center" vertical="center"/>
    </xf>
    <xf numFmtId="0" fontId="7" fillId="8" borderId="1" xfId="0" applyFont="1" applyFill="1" applyBorder="1" applyAlignment="1">
      <alignment horizontal="left" vertical="center" wrapText="1"/>
    </xf>
    <xf numFmtId="0" fontId="0" fillId="8" borderId="1" xfId="0" applyFill="1" applyBorder="1"/>
    <xf numFmtId="0" fontId="0" fillId="8" borderId="1" xfId="0" applyFill="1" applyBorder="1" applyAlignment="1">
      <alignment horizontal="center" vertical="center"/>
    </xf>
    <xf numFmtId="0" fontId="34" fillId="8" borderId="1" xfId="0" applyFont="1" applyFill="1" applyBorder="1" applyAlignment="1">
      <alignment horizontal="center" vertical="center"/>
    </xf>
    <xf numFmtId="0" fontId="0" fillId="8" borderId="1" xfId="0" applyFill="1" applyBorder="1" applyAlignment="1">
      <alignment horizontal="left" vertical="center"/>
    </xf>
    <xf numFmtId="0" fontId="16" fillId="13" borderId="0" xfId="0" applyFont="1" applyFill="1" applyAlignment="1">
      <alignment horizontal="left" vertical="center"/>
    </xf>
    <xf numFmtId="0" fontId="7" fillId="9" borderId="1" xfId="0" applyFont="1" applyFill="1" applyBorder="1" applyAlignment="1">
      <alignment horizontal="center" vertical="center"/>
    </xf>
    <xf numFmtId="9" fontId="35" fillId="9" borderId="1" xfId="0" applyNumberFormat="1" applyFont="1" applyFill="1" applyBorder="1" applyAlignment="1">
      <alignment horizontal="center" vertical="center"/>
    </xf>
    <xf numFmtId="0" fontId="36" fillId="9" borderId="1" xfId="0" applyFont="1" applyFill="1" applyBorder="1" applyAlignment="1">
      <alignment horizontal="center" vertical="center"/>
    </xf>
    <xf numFmtId="0" fontId="7" fillId="9" borderId="1" xfId="0" applyFont="1" applyFill="1" applyBorder="1" applyAlignment="1">
      <alignment horizontal="left" vertical="center" wrapText="1"/>
    </xf>
    <xf numFmtId="0" fontId="0" fillId="9" borderId="1" xfId="0" applyFill="1" applyBorder="1"/>
    <xf numFmtId="0" fontId="0" fillId="9" borderId="1" xfId="0" applyFill="1" applyBorder="1" applyAlignment="1">
      <alignment horizontal="center" vertical="center"/>
    </xf>
    <xf numFmtId="0" fontId="34" fillId="9" borderId="1" xfId="0" applyFont="1" applyFill="1" applyBorder="1" applyAlignment="1">
      <alignment horizontal="center" vertical="center"/>
    </xf>
    <xf numFmtId="0" fontId="0" fillId="9" borderId="1" xfId="0" applyFill="1" applyBorder="1" applyAlignment="1">
      <alignment horizontal="left" vertical="center"/>
    </xf>
    <xf numFmtId="0" fontId="36" fillId="8" borderId="1" xfId="0" applyFont="1" applyFill="1" applyBorder="1" applyAlignment="1">
      <alignment horizontal="center" vertical="center"/>
    </xf>
    <xf numFmtId="0" fontId="12" fillId="12" borderId="0" xfId="0" applyFont="1" applyFill="1" applyAlignment="1">
      <alignment horizontal="left" vertical="center"/>
    </xf>
    <xf numFmtId="0" fontId="16" fillId="12" borderId="0" xfId="0" applyFont="1" applyFill="1" applyAlignment="1">
      <alignment horizontal="left" vertical="center"/>
    </xf>
    <xf numFmtId="0" fontId="7" fillId="10" borderId="1" xfId="0" applyFont="1" applyFill="1" applyBorder="1" applyAlignment="1">
      <alignment horizontal="center" vertical="center"/>
    </xf>
    <xf numFmtId="9" fontId="37" fillId="10" borderId="1" xfId="0" applyNumberFormat="1" applyFont="1" applyFill="1" applyBorder="1" applyAlignment="1">
      <alignment horizontal="center" vertical="center"/>
    </xf>
    <xf numFmtId="0" fontId="38" fillId="10" borderId="1" xfId="0" applyFont="1" applyFill="1" applyBorder="1" applyAlignment="1">
      <alignment horizontal="center" vertical="center"/>
    </xf>
    <xf numFmtId="0" fontId="7" fillId="10" borderId="1" xfId="0" applyFont="1" applyFill="1" applyBorder="1" applyAlignment="1">
      <alignment horizontal="left" vertical="center" wrapText="1"/>
    </xf>
    <xf numFmtId="0" fontId="0" fillId="10" borderId="1" xfId="0" applyFill="1" applyBorder="1"/>
    <xf numFmtId="0" fontId="0" fillId="10" borderId="1" xfId="0" applyFill="1" applyBorder="1" applyAlignment="1">
      <alignment horizontal="center" vertical="center"/>
    </xf>
    <xf numFmtId="0" fontId="34" fillId="10" borderId="1" xfId="0" applyFont="1" applyFill="1" applyBorder="1" applyAlignment="1">
      <alignment horizontal="center" vertical="center"/>
    </xf>
    <xf numFmtId="0" fontId="0" fillId="10" borderId="1" xfId="0" applyFill="1" applyBorder="1" applyAlignment="1">
      <alignment horizontal="left" vertical="center"/>
    </xf>
    <xf numFmtId="0" fontId="38" fillId="8" borderId="1" xfId="0" applyFont="1" applyFill="1" applyBorder="1" applyAlignment="1">
      <alignment horizontal="center" vertical="center"/>
    </xf>
    <xf numFmtId="0" fontId="12" fillId="2" borderId="0" xfId="0" applyFont="1" applyFill="1" applyAlignment="1">
      <alignment horizontal="center" vertical="center" wrapText="1"/>
    </xf>
    <xf numFmtId="0" fontId="38" fillId="10" borderId="1" xfId="0" applyFont="1" applyFill="1" applyBorder="1" applyAlignment="1">
      <alignment horizontal="center" vertical="top"/>
    </xf>
    <xf numFmtId="0" fontId="40" fillId="10" borderId="1" xfId="0" applyFont="1" applyFill="1" applyBorder="1" applyAlignment="1">
      <alignment horizontal="center" vertical="center"/>
    </xf>
    <xf numFmtId="0" fontId="41" fillId="8" borderId="1" xfId="0" applyFont="1" applyFill="1" applyBorder="1" applyAlignment="1">
      <alignment horizontal="center" vertical="top"/>
    </xf>
    <xf numFmtId="0" fontId="40" fillId="8" borderId="1" xfId="0" applyFont="1" applyFill="1" applyBorder="1" applyAlignment="1">
      <alignment horizontal="center" vertical="center"/>
    </xf>
    <xf numFmtId="167" fontId="15" fillId="12" borderId="1" xfId="0" applyNumberFormat="1" applyFont="1" applyFill="1" applyBorder="1" applyAlignment="1">
      <alignment horizontal="center" vertical="center"/>
    </xf>
    <xf numFmtId="0" fontId="42" fillId="11" borderId="3" xfId="0" applyFont="1" applyFill="1" applyBorder="1" applyAlignment="1">
      <alignment horizontal="center" vertical="center" wrapText="1"/>
    </xf>
    <xf numFmtId="167" fontId="40" fillId="8" borderId="3" xfId="0" applyNumberFormat="1" applyFont="1" applyFill="1" applyBorder="1" applyAlignment="1">
      <alignment horizontal="center" vertical="center" wrapText="1"/>
    </xf>
    <xf numFmtId="1" fontId="40" fillId="8" borderId="3" xfId="0" applyNumberFormat="1" applyFont="1" applyFill="1" applyBorder="1" applyAlignment="1">
      <alignment horizontal="center" vertical="center" wrapText="1"/>
    </xf>
    <xf numFmtId="0" fontId="47" fillId="0" borderId="0" xfId="0" applyFont="1" applyAlignment="1">
      <alignment horizontal="left" vertical="center" wrapText="1"/>
    </xf>
    <xf numFmtId="0" fontId="16" fillId="2" borderId="3" xfId="0" applyFont="1" applyFill="1" applyBorder="1" applyAlignment="1">
      <alignment horizontal="center" vertical="center" wrapText="1"/>
    </xf>
    <xf numFmtId="0" fontId="49" fillId="4" borderId="3" xfId="0" applyFont="1" applyFill="1" applyBorder="1" applyAlignment="1">
      <alignment horizontal="left" vertical="center" wrapText="1"/>
    </xf>
    <xf numFmtId="166" fontId="50" fillId="16" borderId="3" xfId="0" applyNumberFormat="1" applyFont="1" applyFill="1" applyBorder="1" applyAlignment="1">
      <alignment horizontal="right" vertical="center"/>
    </xf>
    <xf numFmtId="10" fontId="51" fillId="17" borderId="3" xfId="0" applyNumberFormat="1" applyFont="1" applyFill="1" applyBorder="1" applyAlignment="1">
      <alignment horizontal="right" vertical="center"/>
    </xf>
    <xf numFmtId="166" fontId="21" fillId="15" borderId="3" xfId="0" applyNumberFormat="1" applyFont="1" applyFill="1" applyBorder="1" applyAlignment="1">
      <alignment horizontal="right" vertical="center"/>
    </xf>
    <xf numFmtId="0" fontId="52" fillId="4" borderId="3" xfId="0" applyFont="1" applyFill="1" applyBorder="1" applyAlignment="1">
      <alignment horizontal="center" vertical="center" wrapText="1"/>
    </xf>
    <xf numFmtId="166" fontId="53" fillId="18" borderId="3" xfId="0" applyNumberFormat="1" applyFont="1" applyFill="1" applyBorder="1" applyAlignment="1">
      <alignment horizontal="right" vertical="center"/>
    </xf>
    <xf numFmtId="0" fontId="33" fillId="16" borderId="3" xfId="0" applyFont="1" applyFill="1" applyBorder="1" applyAlignment="1">
      <alignment horizontal="center" vertical="center" wrapText="1"/>
    </xf>
    <xf numFmtId="0" fontId="20" fillId="17" borderId="3" xfId="0" applyFont="1" applyFill="1" applyBorder="1" applyAlignment="1">
      <alignment horizontal="center" vertical="center" wrapText="1"/>
    </xf>
    <xf numFmtId="0" fontId="49" fillId="8" borderId="3" xfId="0" applyFont="1" applyFill="1" applyBorder="1" applyAlignment="1">
      <alignment horizontal="left" vertical="center" wrapText="1"/>
    </xf>
    <xf numFmtId="166" fontId="50" fillId="5" borderId="3" xfId="0" applyNumberFormat="1" applyFont="1" applyFill="1" applyBorder="1" applyAlignment="1">
      <alignment horizontal="right" vertical="center"/>
    </xf>
    <xf numFmtId="10" fontId="51" fillId="7" borderId="3" xfId="0" applyNumberFormat="1" applyFont="1" applyFill="1" applyBorder="1" applyAlignment="1">
      <alignment horizontal="right" vertical="center"/>
    </xf>
    <xf numFmtId="166" fontId="21" fillId="9" borderId="3" xfId="0" applyNumberFormat="1" applyFont="1" applyFill="1" applyBorder="1" applyAlignment="1">
      <alignment horizontal="right" vertical="center"/>
    </xf>
    <xf numFmtId="0" fontId="52" fillId="8" borderId="3" xfId="0" applyFont="1" applyFill="1" applyBorder="1" applyAlignment="1">
      <alignment horizontal="center" vertical="center" wrapText="1"/>
    </xf>
    <xf numFmtId="166" fontId="53" fillId="14" borderId="3" xfId="0" applyNumberFormat="1" applyFont="1" applyFill="1" applyBorder="1" applyAlignment="1">
      <alignment horizontal="right" vertical="center"/>
    </xf>
    <xf numFmtId="0" fontId="33" fillId="5" borderId="3" xfId="0" applyFont="1" applyFill="1" applyBorder="1" applyAlignment="1">
      <alignment horizontal="center" vertical="center" wrapText="1"/>
    </xf>
    <xf numFmtId="0" fontId="20" fillId="7" borderId="3" xfId="0" applyFont="1" applyFill="1" applyBorder="1" applyAlignment="1">
      <alignment horizontal="center" vertical="center" wrapText="1"/>
    </xf>
    <xf numFmtId="0" fontId="52" fillId="8" borderId="3" xfId="0" applyFont="1" applyFill="1" applyBorder="1" applyAlignment="1">
      <alignment horizontal="left" vertical="center" wrapText="1"/>
    </xf>
    <xf numFmtId="0" fontId="52" fillId="4" borderId="3" xfId="0" applyFont="1" applyFill="1" applyBorder="1" applyAlignment="1">
      <alignment horizontal="left" vertical="center" wrapText="1"/>
    </xf>
    <xf numFmtId="0" fontId="12" fillId="2" borderId="3" xfId="0" applyFont="1" applyFill="1" applyBorder="1" applyAlignment="1">
      <alignment horizontal="center" vertical="center" wrapText="1"/>
    </xf>
    <xf numFmtId="166" fontId="12" fillId="2" borderId="3" xfId="0" applyNumberFormat="1" applyFont="1" applyFill="1" applyBorder="1" applyAlignment="1">
      <alignment horizontal="right" vertical="center"/>
    </xf>
    <xf numFmtId="0" fontId="0" fillId="2" borderId="3" xfId="0" applyFill="1" applyBorder="1"/>
    <xf numFmtId="0" fontId="16" fillId="19" borderId="3" xfId="0" applyFont="1" applyFill="1" applyBorder="1" applyAlignment="1">
      <alignment horizontal="center" vertical="center" wrapText="1"/>
    </xf>
    <xf numFmtId="10" fontId="5" fillId="7" borderId="3" xfId="0" applyNumberFormat="1" applyFont="1" applyFill="1" applyBorder="1" applyAlignment="1">
      <alignment horizontal="center" vertical="center" wrapText="1"/>
    </xf>
    <xf numFmtId="164" fontId="58" fillId="8" borderId="3" xfId="0" applyNumberFormat="1" applyFont="1" applyFill="1" applyBorder="1" applyAlignment="1">
      <alignment horizontal="center" vertical="center" wrapText="1"/>
    </xf>
    <xf numFmtId="10" fontId="58" fillId="8" borderId="3" xfId="0" applyNumberFormat="1" applyFont="1" applyFill="1" applyBorder="1" applyAlignment="1">
      <alignment horizontal="center" vertical="center" wrapText="1"/>
    </xf>
    <xf numFmtId="1" fontId="58" fillId="8" borderId="3" xfId="0" applyNumberFormat="1" applyFont="1" applyFill="1" applyBorder="1" applyAlignment="1">
      <alignment horizontal="center" vertical="center" wrapText="1"/>
    </xf>
    <xf numFmtId="0" fontId="16" fillId="20" borderId="0" xfId="0" applyFont="1" applyFill="1" applyAlignment="1">
      <alignment horizontal="center" vertical="center"/>
    </xf>
    <xf numFmtId="0" fontId="16" fillId="12" borderId="0" xfId="0" applyFont="1" applyFill="1" applyAlignment="1">
      <alignment horizontal="center" vertical="center"/>
    </xf>
    <xf numFmtId="0" fontId="16" fillId="21" borderId="0" xfId="0" applyFont="1" applyFill="1" applyAlignment="1">
      <alignment horizontal="center" vertical="center"/>
    </xf>
    <xf numFmtId="0" fontId="7" fillId="20" borderId="0" xfId="0" applyFont="1" applyFill="1" applyAlignment="1">
      <alignment horizontal="left" vertical="center"/>
    </xf>
    <xf numFmtId="0" fontId="19" fillId="4" borderId="0" xfId="0" applyFont="1" applyFill="1" applyAlignment="1">
      <alignment horizontal="left" vertical="center"/>
    </xf>
    <xf numFmtId="0" fontId="25" fillId="20" borderId="0" xfId="0" applyFont="1" applyFill="1" applyAlignment="1">
      <alignment horizontal="right" vertical="center"/>
    </xf>
    <xf numFmtId="164" fontId="62" fillId="4" borderId="0" xfId="0" applyNumberFormat="1" applyFont="1" applyFill="1" applyAlignment="1">
      <alignment horizontal="left" vertical="center"/>
    </xf>
    <xf numFmtId="10" fontId="62" fillId="4" borderId="0" xfId="0" applyNumberFormat="1" applyFont="1" applyFill="1" applyAlignment="1">
      <alignment horizontal="left" vertical="center"/>
    </xf>
    <xf numFmtId="1" fontId="62" fillId="4" borderId="0" xfId="0" applyNumberFormat="1" applyFont="1" applyFill="1" applyAlignment="1">
      <alignment horizontal="left" vertical="center"/>
    </xf>
    <xf numFmtId="0" fontId="16" fillId="12" borderId="0" xfId="0" applyFont="1" applyFill="1" applyAlignment="1">
      <alignment horizontal="center" vertical="center" wrapText="1"/>
    </xf>
    <xf numFmtId="0" fontId="7" fillId="8" borderId="0" xfId="0" applyFont="1" applyFill="1" applyAlignment="1">
      <alignment horizontal="center" vertical="center"/>
    </xf>
    <xf numFmtId="0" fontId="63" fillId="8" borderId="0" xfId="0" applyFont="1" applyFill="1" applyAlignment="1">
      <alignment horizontal="center" vertical="center"/>
    </xf>
    <xf numFmtId="164" fontId="7" fillId="8" borderId="0" xfId="0" applyNumberFormat="1" applyFont="1" applyFill="1" applyAlignment="1">
      <alignment horizontal="right" vertical="center"/>
    </xf>
    <xf numFmtId="164" fontId="21" fillId="8" borderId="0" xfId="0" applyNumberFormat="1" applyFont="1" applyFill="1" applyAlignment="1">
      <alignment horizontal="right" vertical="center"/>
    </xf>
    <xf numFmtId="164" fontId="64" fillId="8" borderId="0" xfId="0" applyNumberFormat="1" applyFont="1" applyFill="1" applyAlignment="1">
      <alignment horizontal="right" vertical="center"/>
    </xf>
    <xf numFmtId="164" fontId="65" fillId="8" borderId="0" xfId="0" applyNumberFormat="1" applyFont="1" applyFill="1" applyAlignment="1">
      <alignment horizontal="right" vertical="center"/>
    </xf>
    <xf numFmtId="164" fontId="19" fillId="8" borderId="0" xfId="0" applyNumberFormat="1" applyFont="1" applyFill="1" applyAlignment="1">
      <alignment horizontal="right" vertical="center"/>
    </xf>
    <xf numFmtId="9" fontId="66" fillId="8" borderId="0" xfId="0" applyNumberFormat="1" applyFont="1" applyFill="1" applyAlignment="1">
      <alignment horizontal="center" vertical="center"/>
    </xf>
    <xf numFmtId="0" fontId="36" fillId="8" borderId="0" xfId="0" applyFont="1" applyFill="1" applyAlignment="1">
      <alignment horizontal="left" vertical="center"/>
    </xf>
    <xf numFmtId="0" fontId="7" fillId="4" borderId="0" xfId="0" applyFont="1" applyFill="1" applyAlignment="1">
      <alignment horizontal="center" vertical="center"/>
    </xf>
    <xf numFmtId="0" fontId="63" fillId="4" borderId="0" xfId="0" applyFont="1" applyFill="1" applyAlignment="1">
      <alignment horizontal="center" vertical="center"/>
    </xf>
    <xf numFmtId="164" fontId="7" fillId="4" borderId="0" xfId="0" applyNumberFormat="1" applyFont="1" applyFill="1" applyAlignment="1">
      <alignment horizontal="right" vertical="center"/>
    </xf>
    <xf numFmtId="164" fontId="21" fillId="4" borderId="0" xfId="0" applyNumberFormat="1" applyFont="1" applyFill="1" applyAlignment="1">
      <alignment horizontal="right" vertical="center"/>
    </xf>
    <xf numFmtId="164" fontId="64" fillId="4" borderId="0" xfId="0" applyNumberFormat="1" applyFont="1" applyFill="1" applyAlignment="1">
      <alignment horizontal="right" vertical="center"/>
    </xf>
    <xf numFmtId="164" fontId="65" fillId="4" borderId="0" xfId="0" applyNumberFormat="1" applyFont="1" applyFill="1" applyAlignment="1">
      <alignment horizontal="right" vertical="center"/>
    </xf>
    <xf numFmtId="164" fontId="19" fillId="4" borderId="0" xfId="0" applyNumberFormat="1" applyFont="1" applyFill="1" applyAlignment="1">
      <alignment horizontal="right" vertical="center"/>
    </xf>
    <xf numFmtId="9" fontId="66" fillId="4" borderId="0" xfId="0" applyNumberFormat="1" applyFont="1" applyFill="1" applyAlignment="1">
      <alignment horizontal="center" vertical="center"/>
    </xf>
    <xf numFmtId="0" fontId="36" fillId="4" borderId="0" xfId="0" applyFont="1" applyFill="1" applyAlignment="1">
      <alignment horizontal="left" vertical="center"/>
    </xf>
    <xf numFmtId="164" fontId="67" fillId="14" borderId="0" xfId="0" applyNumberFormat="1" applyFont="1" applyFill="1" applyAlignment="1">
      <alignment horizontal="center" vertical="center"/>
    </xf>
    <xf numFmtId="0" fontId="16" fillId="21" borderId="0" xfId="0" applyFont="1" applyFill="1" applyAlignment="1">
      <alignment horizontal="center" vertical="center" wrapText="1"/>
    </xf>
    <xf numFmtId="0" fontId="7" fillId="4" borderId="0" xfId="0" applyFont="1" applyFill="1" applyAlignment="1">
      <alignment horizontal="left" vertical="center"/>
    </xf>
    <xf numFmtId="10" fontId="7" fillId="4" borderId="0" xfId="0" applyNumberFormat="1" applyFont="1" applyFill="1" applyAlignment="1">
      <alignment horizontal="right" vertical="center"/>
    </xf>
    <xf numFmtId="0" fontId="68" fillId="4" borderId="0" xfId="0" applyFont="1" applyFill="1" applyAlignment="1">
      <alignment horizontal="center" vertical="center"/>
    </xf>
    <xf numFmtId="0" fontId="50" fillId="4" borderId="0" xfId="0" applyFont="1" applyFill="1" applyAlignment="1">
      <alignment horizontal="center" vertical="center"/>
    </xf>
    <xf numFmtId="0" fontId="7" fillId="8" borderId="0" xfId="0" applyFont="1" applyFill="1" applyAlignment="1">
      <alignment horizontal="left" vertical="center"/>
    </xf>
    <xf numFmtId="10" fontId="7" fillId="8" borderId="0" xfId="0" applyNumberFormat="1" applyFont="1" applyFill="1" applyAlignment="1">
      <alignment horizontal="right" vertical="center"/>
    </xf>
    <xf numFmtId="0" fontId="68" fillId="8" borderId="0" xfId="0" applyFont="1" applyFill="1" applyAlignment="1">
      <alignment horizontal="center" vertical="center"/>
    </xf>
    <xf numFmtId="0" fontId="50" fillId="8" borderId="0" xfId="0" applyFont="1" applyFill="1" applyAlignment="1">
      <alignment horizontal="center" vertical="center"/>
    </xf>
    <xf numFmtId="0" fontId="19" fillId="20" borderId="0" xfId="0" applyFont="1" applyFill="1" applyAlignment="1">
      <alignment horizontal="center" vertical="center"/>
    </xf>
    <xf numFmtId="164" fontId="19" fillId="20" borderId="0" xfId="0" applyNumberFormat="1" applyFont="1" applyFill="1" applyAlignment="1">
      <alignment horizontal="center" vertical="center"/>
    </xf>
    <xf numFmtId="0" fontId="7" fillId="11" borderId="2" xfId="0" applyFont="1" applyFill="1" applyBorder="1" applyAlignment="1">
      <alignment horizontal="left" vertical="center" wrapText="1"/>
    </xf>
    <xf numFmtId="0" fontId="13" fillId="4" borderId="0" xfId="0" applyFont="1" applyFill="1" applyAlignment="1">
      <alignment horizontal="center" vertical="center"/>
    </xf>
    <xf numFmtId="0" fontId="14" fillId="2" borderId="0" xfId="0" applyFont="1" applyFill="1" applyAlignment="1">
      <alignment horizontal="left" vertical="center"/>
    </xf>
    <xf numFmtId="0" fontId="12" fillId="3" borderId="0" xfId="0" applyFont="1" applyFill="1" applyAlignment="1">
      <alignment horizontal="left" vertical="center"/>
    </xf>
    <xf numFmtId="0" fontId="4" fillId="8" borderId="2" xfId="0" applyFont="1" applyFill="1" applyBorder="1" applyAlignment="1">
      <alignment horizontal="left" vertical="center"/>
    </xf>
    <xf numFmtId="0" fontId="4" fillId="5" borderId="2" xfId="0" applyFont="1" applyFill="1" applyBorder="1" applyAlignment="1">
      <alignment horizontal="left" vertical="center"/>
    </xf>
    <xf numFmtId="0" fontId="4" fillId="5" borderId="2" xfId="0" applyFont="1" applyFill="1" applyBorder="1" applyAlignment="1">
      <alignment horizontal="left" vertical="top" wrapText="1"/>
    </xf>
    <xf numFmtId="0" fontId="12" fillId="2" borderId="0" xfId="0" applyFont="1" applyFill="1" applyAlignment="1">
      <alignment horizontal="left" vertical="center"/>
    </xf>
    <xf numFmtId="0" fontId="4" fillId="11" borderId="2" xfId="0" applyFont="1" applyFill="1" applyBorder="1" applyAlignment="1">
      <alignment horizontal="left" vertical="top" wrapText="1"/>
    </xf>
    <xf numFmtId="0" fontId="3" fillId="13" borderId="0" xfId="0" applyFont="1" applyFill="1" applyAlignment="1">
      <alignment horizontal="left" vertical="center"/>
    </xf>
    <xf numFmtId="164" fontId="22" fillId="13" borderId="2" xfId="0" applyNumberFormat="1" applyFont="1" applyFill="1" applyBorder="1" applyAlignment="1">
      <alignment horizontal="center" vertical="center"/>
    </xf>
    <xf numFmtId="164" fontId="22" fillId="3" borderId="2" xfId="0" applyNumberFormat="1" applyFont="1" applyFill="1" applyBorder="1" applyAlignment="1">
      <alignment horizontal="center" vertical="center"/>
    </xf>
    <xf numFmtId="164" fontId="22" fillId="6" borderId="2" xfId="0" applyNumberFormat="1" applyFont="1" applyFill="1" applyBorder="1" applyAlignment="1">
      <alignment horizontal="center" vertical="center"/>
    </xf>
    <xf numFmtId="164" fontId="22" fillId="2" borderId="2" xfId="0" applyNumberFormat="1" applyFont="1" applyFill="1" applyBorder="1" applyAlignment="1">
      <alignment horizontal="center" vertical="center"/>
    </xf>
    <xf numFmtId="0" fontId="3" fillId="2" borderId="0" xfId="0" applyFont="1" applyFill="1" applyAlignment="1">
      <alignment horizontal="left" vertical="center" wrapText="1"/>
    </xf>
    <xf numFmtId="0" fontId="6" fillId="15" borderId="0" xfId="0" applyFont="1" applyFill="1" applyAlignment="1">
      <alignment horizontal="center" vertical="center" wrapText="1"/>
    </xf>
    <xf numFmtId="0" fontId="13" fillId="7" borderId="0" xfId="0" applyFont="1" applyFill="1" applyAlignment="1">
      <alignment horizontal="left" vertical="center"/>
    </xf>
    <xf numFmtId="0" fontId="31" fillId="8" borderId="2" xfId="0" applyFont="1" applyFill="1" applyBorder="1" applyAlignment="1">
      <alignment horizontal="left" vertical="center"/>
    </xf>
    <xf numFmtId="0" fontId="0" fillId="5" borderId="2" xfId="0" applyFill="1" applyBorder="1"/>
    <xf numFmtId="0" fontId="7" fillId="5" borderId="2" xfId="0" applyFont="1" applyFill="1" applyBorder="1" applyAlignment="1">
      <alignment horizontal="left" vertical="top" wrapText="1"/>
    </xf>
    <xf numFmtId="0" fontId="16" fillId="3" borderId="0" xfId="0" applyFont="1" applyFill="1" applyAlignment="1">
      <alignment horizontal="left" vertical="center"/>
    </xf>
    <xf numFmtId="0" fontId="0" fillId="9" borderId="2" xfId="0" applyFill="1" applyBorder="1"/>
    <xf numFmtId="0" fontId="7" fillId="9" borderId="2" xfId="0" applyFont="1" applyFill="1" applyBorder="1" applyAlignment="1">
      <alignment horizontal="left" vertical="top" wrapText="1"/>
    </xf>
    <xf numFmtId="0" fontId="16" fillId="13" borderId="0" xfId="0" applyFont="1" applyFill="1" applyAlignment="1">
      <alignment horizontal="left" vertical="center"/>
    </xf>
    <xf numFmtId="0" fontId="3" fillId="12" borderId="0" xfId="0" applyFont="1" applyFill="1" applyAlignment="1">
      <alignment horizontal="left" vertical="center"/>
    </xf>
    <xf numFmtId="0" fontId="0" fillId="10" borderId="2" xfId="0" applyFill="1" applyBorder="1"/>
    <xf numFmtId="0" fontId="7" fillId="10" borderId="2" xfId="0" applyFont="1" applyFill="1" applyBorder="1" applyAlignment="1">
      <alignment horizontal="left" vertical="top" wrapText="1"/>
    </xf>
    <xf numFmtId="0" fontId="16" fillId="12" borderId="0" xfId="0" applyFont="1" applyFill="1" applyAlignment="1">
      <alignment horizontal="left" vertical="center"/>
    </xf>
    <xf numFmtId="0" fontId="39" fillId="2" borderId="0" xfId="0" applyFont="1" applyFill="1" applyAlignment="1">
      <alignment horizontal="left" vertical="center"/>
    </xf>
    <xf numFmtId="0" fontId="13" fillId="10" borderId="0" xfId="0" applyFont="1" applyFill="1" applyAlignment="1">
      <alignment horizontal="left" vertical="center" wrapText="1"/>
    </xf>
    <xf numFmtId="0" fontId="3" fillId="12" borderId="2" xfId="0" applyFont="1" applyFill="1" applyBorder="1" applyAlignment="1">
      <alignment horizontal="left" vertical="center"/>
    </xf>
    <xf numFmtId="0" fontId="12" fillId="12" borderId="0" xfId="0" applyFont="1" applyFill="1" applyAlignment="1">
      <alignment horizontal="left" vertical="center"/>
    </xf>
    <xf numFmtId="0" fontId="7" fillId="11" borderId="2" xfId="0" applyFont="1" applyFill="1" applyBorder="1" applyAlignment="1">
      <alignment horizontal="left" vertical="top" wrapText="1"/>
    </xf>
    <xf numFmtId="0" fontId="3" fillId="12" borderId="0" xfId="0" applyFont="1" applyFill="1" applyAlignment="1">
      <alignment horizontal="left" vertical="center" wrapText="1"/>
    </xf>
    <xf numFmtId="0" fontId="43" fillId="2" borderId="0" xfId="0" applyFont="1" applyFill="1" applyAlignment="1">
      <alignment horizontal="left" vertical="center" wrapText="1"/>
    </xf>
    <xf numFmtId="0" fontId="44" fillId="2" borderId="0" xfId="0" applyFont="1" applyFill="1" applyAlignment="1">
      <alignment horizontal="left" vertical="center" wrapText="1"/>
    </xf>
    <xf numFmtId="0" fontId="45" fillId="4" borderId="0" xfId="0" applyFont="1" applyFill="1" applyAlignment="1">
      <alignment horizontal="left" vertical="center" wrapText="1"/>
    </xf>
    <xf numFmtId="0" fontId="19" fillId="11" borderId="0" xfId="0" applyFont="1" applyFill="1" applyAlignment="1">
      <alignment horizontal="right" vertical="center"/>
    </xf>
    <xf numFmtId="0" fontId="46" fillId="7" borderId="4" xfId="0" applyFont="1" applyFill="1" applyBorder="1" applyAlignment="1">
      <alignment horizontal="center" vertical="center" wrapText="1"/>
    </xf>
    <xf numFmtId="164" fontId="48" fillId="5" borderId="4" xfId="0" applyNumberFormat="1" applyFont="1" applyFill="1" applyBorder="1" applyAlignment="1">
      <alignment horizontal="center" vertical="center" wrapText="1"/>
    </xf>
    <xf numFmtId="0" fontId="3" fillId="3" borderId="0" xfId="0" applyFont="1" applyFill="1" applyAlignment="1">
      <alignment horizontal="left" vertical="center" wrapText="1"/>
    </xf>
    <xf numFmtId="0" fontId="16" fillId="19" borderId="5" xfId="0" applyFont="1" applyFill="1" applyBorder="1" applyAlignment="1">
      <alignment horizontal="center" vertical="center" wrapText="1"/>
    </xf>
    <xf numFmtId="0" fontId="54" fillId="16" borderId="5" xfId="0" applyFont="1" applyFill="1" applyBorder="1" applyAlignment="1">
      <alignment horizontal="center" vertical="center" wrapText="1"/>
    </xf>
    <xf numFmtId="164" fontId="55" fillId="14" borderId="5" xfId="0" applyNumberFormat="1" applyFont="1" applyFill="1" applyBorder="1" applyAlignment="1">
      <alignment horizontal="center" vertical="center" wrapText="1"/>
    </xf>
    <xf numFmtId="164" fontId="56" fillId="9" borderId="5" xfId="0" applyNumberFormat="1" applyFont="1" applyFill="1" applyBorder="1" applyAlignment="1">
      <alignment horizontal="center" vertical="center" wrapText="1"/>
    </xf>
    <xf numFmtId="0" fontId="57" fillId="11" borderId="5" xfId="0" applyFont="1" applyFill="1" applyBorder="1" applyAlignment="1">
      <alignment horizontal="center" vertical="center" wrapText="1"/>
    </xf>
    <xf numFmtId="0" fontId="59" fillId="4" borderId="0" xfId="0" applyFont="1" applyFill="1" applyAlignment="1">
      <alignment horizontal="center" vertical="center" wrapText="1"/>
    </xf>
    <xf numFmtId="0" fontId="22" fillId="2" borderId="0" xfId="0" applyFont="1" applyFill="1" applyAlignment="1">
      <alignment horizontal="center" vertical="center"/>
    </xf>
    <xf numFmtId="164" fontId="36" fillId="9" borderId="0" xfId="0" applyNumberFormat="1" applyFont="1" applyFill="1" applyAlignment="1">
      <alignment horizontal="center" vertical="center"/>
    </xf>
    <xf numFmtId="164" fontId="33" fillId="5" borderId="0" xfId="0" applyNumberFormat="1" applyFont="1" applyFill="1" applyAlignment="1">
      <alignment horizontal="center" vertical="center"/>
    </xf>
    <xf numFmtId="1" fontId="21" fillId="9" borderId="0" xfId="0" applyNumberFormat="1" applyFont="1" applyFill="1" applyAlignment="1">
      <alignment horizontal="center" vertical="center"/>
    </xf>
    <xf numFmtId="1" fontId="50" fillId="5" borderId="0" xfId="0" applyNumberFormat="1" applyFont="1" applyFill="1" applyAlignment="1">
      <alignment horizontal="center" vertical="center"/>
    </xf>
    <xf numFmtId="0" fontId="21" fillId="9" borderId="0" xfId="0" applyFont="1" applyFill="1" applyAlignment="1">
      <alignment horizontal="center" vertical="center"/>
    </xf>
    <xf numFmtId="0" fontId="50" fillId="5" borderId="0" xfId="0" applyFont="1" applyFill="1" applyAlignment="1">
      <alignment horizontal="center" vertical="center"/>
    </xf>
    <xf numFmtId="0" fontId="19" fillId="22" borderId="0" xfId="0" applyFont="1" applyFill="1" applyAlignment="1">
      <alignment horizontal="left" vertical="center"/>
    </xf>
    <xf numFmtId="164" fontId="27" fillId="9" borderId="0" xfId="0" applyNumberFormat="1" applyFont="1" applyFill="1" applyAlignment="1">
      <alignment horizontal="center" vertical="center"/>
    </xf>
    <xf numFmtId="0" fontId="60" fillId="0" borderId="0" xfId="0" applyFont="1" applyAlignment="1">
      <alignment horizontal="center" vertical="center"/>
    </xf>
    <xf numFmtId="0" fontId="15" fillId="2" borderId="0" xfId="0" applyFont="1" applyFill="1" applyAlignment="1">
      <alignment horizontal="center" vertical="center"/>
    </xf>
    <xf numFmtId="0" fontId="61" fillId="22" borderId="0" xfId="0" applyFont="1" applyFill="1" applyAlignment="1">
      <alignment horizontal="left" vertical="center" wrapText="1"/>
    </xf>
    <xf numFmtId="0" fontId="3" fillId="12" borderId="0" xfId="0" applyFont="1" applyFill="1" applyAlignment="1">
      <alignment horizontal="center" vertical="center"/>
    </xf>
    <xf numFmtId="0" fontId="3" fillId="2" borderId="0" xfId="0" applyFont="1" applyFill="1" applyAlignment="1">
      <alignment horizontal="center" vertical="center"/>
    </xf>
    <xf numFmtId="0" fontId="19" fillId="20" borderId="0" xfId="0" applyFont="1" applyFill="1" applyAlignment="1">
      <alignment horizontal="right" vertical="center"/>
    </xf>
    <xf numFmtId="0" fontId="60" fillId="0" borderId="0" xfId="0" applyFont="1" applyAlignment="1">
      <alignment horizontal="left" vertical="center"/>
    </xf>
    <xf numFmtId="0" fontId="22" fillId="12" borderId="0" xfId="0" applyFont="1" applyFill="1" applyAlignment="1">
      <alignment horizontal="center" vertical="center"/>
    </xf>
    <xf numFmtId="0" fontId="22" fillId="21" borderId="0" xfId="0" applyFont="1" applyFill="1" applyAlignment="1">
      <alignment horizontal="center" vertical="center"/>
    </xf>
    <xf numFmtId="0" fontId="19" fillId="20" borderId="0" xfId="0" applyFont="1" applyFill="1" applyAlignment="1">
      <alignment horizontal="center" vertical="center" wrapText="1"/>
    </xf>
    <xf numFmtId="0" fontId="69" fillId="9" borderId="0" xfId="0" applyFont="1" applyFill="1" applyAlignment="1">
      <alignment horizontal="center" vertical="center" wrapText="1"/>
    </xf>
    <xf numFmtId="0" fontId="70" fillId="5" borderId="0" xfId="0" applyFont="1" applyFill="1" applyAlignment="1">
      <alignment horizontal="center" vertical="center" wrapText="1"/>
    </xf>
    <xf numFmtId="164" fontId="27" fillId="9" borderId="0" xfId="0" applyNumberFormat="1" applyFont="1" applyFill="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DC2626"/>
      <rgbColor rgb="FF00FF00"/>
      <rgbColor rgb="FF0000FF"/>
      <rgbColor rgb="FFFFFBEB"/>
      <rgbColor rgb="FFFF00FF"/>
      <rgbColor rgb="FF00FFFF"/>
      <rgbColor rgb="FF991B1B"/>
      <rgbColor rgb="FF166534"/>
      <rgbColor rgb="FF000080"/>
      <rgbColor rgb="FF808000"/>
      <rgbColor rgb="FF800080"/>
      <rgbColor rgb="FF008080"/>
      <rgbColor rgb="FFCCCCCC"/>
      <rgbColor rgb="FF6B7280"/>
      <rgbColor rgb="FF7B6FB8"/>
      <rgbColor rgb="FF993366"/>
      <rgbColor rgb="FFFFF9C4"/>
      <rgbColor rgb="FFDCFCE7"/>
      <rgbColor rgb="FF4C1D95"/>
      <rgbColor rgb="FFEFF6FF"/>
      <rgbColor rgb="FF0066CC"/>
      <rgbColor rgb="FFCBD5E1"/>
      <rgbColor rgb="FF000080"/>
      <rgbColor rgb="FFFF00FF"/>
      <rgbColor rgb="FFFFF1F2"/>
      <rgbColor rgb="FF00FFFF"/>
      <rgbColor rgb="FF800080"/>
      <rgbColor rgb="FF800000"/>
      <rgbColor rgb="FF008080"/>
      <rgbColor rgb="FF0000FF"/>
      <rgbColor rgb="FF00CCFF"/>
      <rgbColor rgb="FFDBEAFE"/>
      <rgbColor rgb="FFF0FDF4"/>
      <rgbColor rgb="FFFEF3C7"/>
      <rgbColor rgb="FFD1D5DB"/>
      <rgbColor rgb="FFEDE9FE"/>
      <rgbColor rgb="FFE2E8F0"/>
      <rgbColor rgb="FFFEE2E2"/>
      <rgbColor rgb="FF3B82F6"/>
      <rgbColor rgb="FF33CCCC"/>
      <rgbColor rgb="FFF8FAFC"/>
      <rgbColor rgb="FFF1F5F9"/>
      <rgbColor rgb="FFFF9900"/>
      <rgbColor rgb="FFD97706"/>
      <rgbColor rgb="FF64748B"/>
      <rgbColor rgb="FF94A3B8"/>
      <rgbColor rgb="FF003366"/>
      <rgbColor rgb="FF10B981"/>
      <rgbColor rgb="FF0F172A"/>
      <rgbColor rgb="FF475569"/>
      <rgbColor rgb="FF92400E"/>
      <rgbColor rgb="FF993366"/>
      <rgbColor rgb="FF1E40AF"/>
      <rgbColor rgb="FF33415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59"/>
  <sheetViews>
    <sheetView showGridLines="0" tabSelected="1" zoomScaleNormal="100" workbookViewId="0"/>
  </sheetViews>
  <sheetFormatPr defaultColWidth="8.6328125" defaultRowHeight="14.5" x14ac:dyDescent="0.35"/>
  <cols>
    <col min="1" max="1" width="2" customWidth="1"/>
    <col min="2" max="2" width="28" customWidth="1"/>
    <col min="3" max="3" width="52" customWidth="1"/>
    <col min="4" max="4" width="28" customWidth="1"/>
    <col min="5" max="5" width="2" customWidth="1"/>
  </cols>
  <sheetData>
    <row r="1" spans="2:4" ht="13.5" customHeight="1" x14ac:dyDescent="0.35">
      <c r="B1" s="14"/>
      <c r="C1" s="14"/>
      <c r="D1" s="14"/>
    </row>
    <row r="2" spans="2:4" ht="60" customHeight="1" x14ac:dyDescent="0.35">
      <c r="B2" s="13" t="s">
        <v>0</v>
      </c>
      <c r="C2" s="13"/>
      <c r="D2" s="13"/>
    </row>
    <row r="3" spans="2:4" ht="19.5" customHeight="1" x14ac:dyDescent="0.35">
      <c r="B3" s="13"/>
      <c r="C3" s="13"/>
      <c r="D3" s="13"/>
    </row>
    <row r="4" spans="2:4" ht="19.5" customHeight="1" x14ac:dyDescent="0.35">
      <c r="B4" s="13"/>
      <c r="C4" s="13"/>
      <c r="D4" s="13"/>
    </row>
    <row r="5" spans="2:4" ht="19.5" customHeight="1" x14ac:dyDescent="0.35">
      <c r="B5" s="13"/>
      <c r="C5" s="13"/>
      <c r="D5" s="13"/>
    </row>
    <row r="6" spans="2:4" ht="6" customHeight="1" x14ac:dyDescent="0.35">
      <c r="B6" s="12"/>
      <c r="C6" s="12"/>
      <c r="D6" s="12"/>
    </row>
    <row r="7" spans="2:4" ht="27.75" customHeight="1" x14ac:dyDescent="0.35">
      <c r="B7" s="11" t="s">
        <v>1</v>
      </c>
      <c r="C7" s="11"/>
      <c r="D7" s="11"/>
    </row>
    <row r="8" spans="2:4" ht="18" customHeight="1" x14ac:dyDescent="0.35"/>
    <row r="9" spans="2:4" ht="25.5" customHeight="1" x14ac:dyDescent="0.35">
      <c r="B9" s="10" t="s">
        <v>2</v>
      </c>
      <c r="C9" s="10"/>
      <c r="D9" s="10"/>
    </row>
    <row r="10" spans="2:4" ht="180" customHeight="1" x14ac:dyDescent="0.35">
      <c r="B10" s="9" t="s">
        <v>3</v>
      </c>
      <c r="C10" s="9"/>
      <c r="D10" s="9"/>
    </row>
    <row r="11" spans="2:4" ht="19.5" customHeight="1" x14ac:dyDescent="0.35">
      <c r="B11" s="9"/>
      <c r="C11" s="9"/>
      <c r="D11" s="9"/>
    </row>
    <row r="12" spans="2:4" ht="19.5" customHeight="1" x14ac:dyDescent="0.35">
      <c r="B12" s="9"/>
      <c r="C12" s="9"/>
      <c r="D12" s="9"/>
    </row>
    <row r="13" spans="2:4" ht="19.5" customHeight="1" x14ac:dyDescent="0.35">
      <c r="B13" s="9"/>
      <c r="C13" s="9"/>
      <c r="D13" s="9"/>
    </row>
    <row r="14" spans="2:4" ht="19.5" customHeight="1" x14ac:dyDescent="0.35">
      <c r="B14" s="9"/>
      <c r="C14" s="9"/>
      <c r="D14" s="9"/>
    </row>
    <row r="15" spans="2:4" ht="19.5" customHeight="1" x14ac:dyDescent="0.35">
      <c r="B15" s="9"/>
      <c r="C15" s="9"/>
      <c r="D15" s="9"/>
    </row>
    <row r="16" spans="2:4" ht="19.5" customHeight="1" x14ac:dyDescent="0.35">
      <c r="B16" s="9"/>
      <c r="C16" s="9"/>
      <c r="D16" s="9"/>
    </row>
    <row r="17" spans="2:4" ht="19.5" customHeight="1" x14ac:dyDescent="0.35">
      <c r="B17" s="9"/>
      <c r="C17" s="9"/>
      <c r="D17" s="9"/>
    </row>
    <row r="18" spans="2:4" ht="19.5" customHeight="1" x14ac:dyDescent="0.35">
      <c r="B18" s="9"/>
      <c r="C18" s="9"/>
      <c r="D18" s="9"/>
    </row>
    <row r="19" spans="2:4" ht="13.5" customHeight="1" x14ac:dyDescent="0.35"/>
    <row r="20" spans="2:4" ht="25.5" customHeight="1" x14ac:dyDescent="0.35">
      <c r="B20" s="8" t="s">
        <v>4</v>
      </c>
      <c r="C20" s="8"/>
      <c r="D20" s="8"/>
    </row>
    <row r="21" spans="2:4" ht="79.5" customHeight="1" x14ac:dyDescent="0.35">
      <c r="B21" s="7" t="s">
        <v>5</v>
      </c>
      <c r="C21" s="7"/>
      <c r="D21" s="7"/>
    </row>
    <row r="22" spans="2:4" ht="19.5" customHeight="1" x14ac:dyDescent="0.35">
      <c r="B22" s="7"/>
      <c r="C22" s="7"/>
      <c r="D22" s="7"/>
    </row>
    <row r="23" spans="2:4" ht="19.5" customHeight="1" x14ac:dyDescent="0.35">
      <c r="B23" s="7"/>
      <c r="C23" s="7"/>
      <c r="D23" s="7"/>
    </row>
    <row r="24" spans="2:4" ht="19.5" customHeight="1" x14ac:dyDescent="0.35">
      <c r="B24" s="7"/>
      <c r="C24" s="7"/>
      <c r="D24" s="7"/>
    </row>
    <row r="25" spans="2:4" ht="13.5" customHeight="1" x14ac:dyDescent="0.35"/>
    <row r="26" spans="2:4" ht="25.5" customHeight="1" x14ac:dyDescent="0.35">
      <c r="B26" s="6" t="s">
        <v>6</v>
      </c>
      <c r="C26" s="6"/>
      <c r="D26" s="6"/>
    </row>
    <row r="27" spans="2:4" ht="24" customHeight="1" x14ac:dyDescent="0.35">
      <c r="B27" s="15" t="s">
        <v>7</v>
      </c>
      <c r="C27" s="5" t="s">
        <v>8</v>
      </c>
      <c r="D27" s="5"/>
    </row>
    <row r="28" spans="2:4" ht="24" customHeight="1" x14ac:dyDescent="0.35">
      <c r="B28" s="16" t="s">
        <v>9</v>
      </c>
      <c r="C28" s="4" t="s">
        <v>10</v>
      </c>
      <c r="D28" s="4"/>
    </row>
    <row r="29" spans="2:4" ht="24" customHeight="1" x14ac:dyDescent="0.35">
      <c r="B29" s="17" t="s">
        <v>11</v>
      </c>
      <c r="C29" s="3" t="s">
        <v>12</v>
      </c>
      <c r="D29" s="3"/>
    </row>
    <row r="30" spans="2:4" ht="24" customHeight="1" x14ac:dyDescent="0.35">
      <c r="B30" s="18" t="s">
        <v>13</v>
      </c>
      <c r="C30" s="2" t="s">
        <v>14</v>
      </c>
      <c r="D30" s="2"/>
    </row>
    <row r="31" spans="2:4" ht="24" customHeight="1" x14ac:dyDescent="0.35">
      <c r="B31" s="19" t="s">
        <v>15</v>
      </c>
      <c r="C31" s="1" t="s">
        <v>16</v>
      </c>
      <c r="D31" s="1"/>
    </row>
    <row r="32" spans="2:4" ht="13.5" customHeight="1" x14ac:dyDescent="0.35"/>
    <row r="33" spans="2:4" ht="25.5" customHeight="1" x14ac:dyDescent="0.35">
      <c r="B33" s="6" t="s">
        <v>17</v>
      </c>
      <c r="C33" s="6"/>
      <c r="D33" s="6"/>
    </row>
    <row r="34" spans="2:4" ht="21.75" customHeight="1" x14ac:dyDescent="0.35">
      <c r="B34" s="20" t="s">
        <v>18</v>
      </c>
      <c r="C34" s="188" t="s">
        <v>19</v>
      </c>
      <c r="D34" s="188"/>
    </row>
    <row r="35" spans="2:4" ht="21.75" customHeight="1" x14ac:dyDescent="0.35">
      <c r="B35" s="20" t="s">
        <v>20</v>
      </c>
      <c r="C35" s="188" t="s">
        <v>21</v>
      </c>
      <c r="D35" s="188"/>
    </row>
    <row r="36" spans="2:4" ht="21.75" customHeight="1" x14ac:dyDescent="0.35">
      <c r="B36" s="20" t="s">
        <v>22</v>
      </c>
      <c r="C36" s="188" t="s">
        <v>23</v>
      </c>
      <c r="D36" s="188"/>
    </row>
    <row r="37" spans="2:4" ht="21.75" customHeight="1" x14ac:dyDescent="0.35">
      <c r="B37" s="20" t="s">
        <v>24</v>
      </c>
      <c r="C37" s="188" t="s">
        <v>25</v>
      </c>
      <c r="D37" s="188"/>
    </row>
    <row r="38" spans="2:4" ht="21.75" customHeight="1" x14ac:dyDescent="0.35">
      <c r="B38" s="20" t="s">
        <v>26</v>
      </c>
      <c r="C38" s="188" t="s">
        <v>27</v>
      </c>
      <c r="D38" s="188"/>
    </row>
    <row r="39" spans="2:4" ht="13.5" customHeight="1" x14ac:dyDescent="0.35"/>
    <row r="40" spans="2:4" ht="21.75" customHeight="1" x14ac:dyDescent="0.35">
      <c r="B40" s="189" t="s">
        <v>28</v>
      </c>
      <c r="C40" s="189"/>
      <c r="D40" s="189"/>
    </row>
    <row r="41" spans="2:4" ht="19.5" customHeight="1" x14ac:dyDescent="0.35"/>
    <row r="42" spans="2:4" ht="19.5" customHeight="1" x14ac:dyDescent="0.35"/>
    <row r="43" spans="2:4" ht="19.5" customHeight="1" x14ac:dyDescent="0.35"/>
    <row r="44" spans="2:4" ht="19.5" customHeight="1" x14ac:dyDescent="0.35"/>
    <row r="45" spans="2:4" ht="19.5" customHeight="1" x14ac:dyDescent="0.35"/>
    <row r="46" spans="2:4" ht="19.5" customHeight="1" x14ac:dyDescent="0.35"/>
    <row r="47" spans="2:4" ht="19.5" customHeight="1" x14ac:dyDescent="0.35"/>
    <row r="48" spans="2:4" ht="19.5" customHeight="1" x14ac:dyDescent="0.35"/>
    <row r="49" ht="19.5" customHeight="1" x14ac:dyDescent="0.35"/>
    <row r="50" ht="19.5" customHeight="1" x14ac:dyDescent="0.35"/>
    <row r="51" ht="19.5" customHeight="1" x14ac:dyDescent="0.35"/>
    <row r="52" ht="19.5" customHeight="1" x14ac:dyDescent="0.35"/>
    <row r="53" ht="19.5" customHeight="1" x14ac:dyDescent="0.35"/>
    <row r="54" ht="19.5" customHeight="1" x14ac:dyDescent="0.35"/>
    <row r="55" ht="19.5" customHeight="1" x14ac:dyDescent="0.35"/>
    <row r="56" ht="19.5" customHeight="1" x14ac:dyDescent="0.35"/>
    <row r="57" ht="19.5" customHeight="1" x14ac:dyDescent="0.35"/>
    <row r="58" ht="19.5" customHeight="1" x14ac:dyDescent="0.35"/>
    <row r="59" ht="19.5" customHeight="1" x14ac:dyDescent="0.35"/>
  </sheetData>
  <mergeCells count="21">
    <mergeCell ref="B40:D40"/>
    <mergeCell ref="C34:D34"/>
    <mergeCell ref="C35:D35"/>
    <mergeCell ref="C36:D36"/>
    <mergeCell ref="C37:D37"/>
    <mergeCell ref="C38:D38"/>
    <mergeCell ref="C28:D28"/>
    <mergeCell ref="C29:D29"/>
    <mergeCell ref="C30:D30"/>
    <mergeCell ref="C31:D31"/>
    <mergeCell ref="B33:D33"/>
    <mergeCell ref="B10:D18"/>
    <mergeCell ref="B20:D20"/>
    <mergeCell ref="B21:D24"/>
    <mergeCell ref="B26:D26"/>
    <mergeCell ref="C27:D27"/>
    <mergeCell ref="B1:D1"/>
    <mergeCell ref="B2:D5"/>
    <mergeCell ref="B6:D6"/>
    <mergeCell ref="B7:D7"/>
    <mergeCell ref="B9:D9"/>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J45"/>
  <sheetViews>
    <sheetView showGridLines="0" zoomScaleNormal="100" workbookViewId="0"/>
  </sheetViews>
  <sheetFormatPr defaultColWidth="8.6328125" defaultRowHeight="14.5" x14ac:dyDescent="0.35"/>
  <cols>
    <col min="1" max="1" width="2" customWidth="1"/>
    <col min="2" max="2" width="16" customWidth="1"/>
    <col min="3" max="9" width="22" customWidth="1"/>
    <col min="10" max="10" width="2" customWidth="1"/>
  </cols>
  <sheetData>
    <row r="1" spans="2:10" ht="12" customHeight="1" x14ac:dyDescent="0.35">
      <c r="B1" s="14"/>
      <c r="C1" s="14"/>
      <c r="D1" s="14"/>
      <c r="E1" s="14"/>
      <c r="F1" s="14"/>
      <c r="G1" s="14"/>
      <c r="H1" s="14"/>
      <c r="I1" s="14"/>
      <c r="J1" s="14"/>
    </row>
    <row r="2" spans="2:10" ht="39.75" customHeight="1" x14ac:dyDescent="0.35">
      <c r="B2" s="190" t="s">
        <v>29</v>
      </c>
      <c r="C2" s="190"/>
      <c r="D2" s="190"/>
      <c r="E2" s="190"/>
      <c r="F2" s="190"/>
      <c r="G2" s="190"/>
      <c r="H2" s="190"/>
      <c r="I2" s="190"/>
      <c r="J2" s="190"/>
    </row>
    <row r="3" spans="2:10" ht="15" customHeight="1" x14ac:dyDescent="0.35">
      <c r="B3" s="190"/>
      <c r="C3" s="190"/>
      <c r="D3" s="190"/>
      <c r="E3" s="190"/>
      <c r="F3" s="190"/>
      <c r="G3" s="190"/>
      <c r="H3" s="190"/>
      <c r="I3" s="190"/>
      <c r="J3" s="190"/>
    </row>
    <row r="4" spans="2:10" ht="27.75" customHeight="1" x14ac:dyDescent="0.35">
      <c r="B4" s="191" t="s">
        <v>30</v>
      </c>
      <c r="C4" s="191"/>
      <c r="D4" s="192"/>
      <c r="E4" s="192"/>
      <c r="F4" s="191" t="s">
        <v>31</v>
      </c>
      <c r="G4" s="191"/>
      <c r="H4" s="192"/>
      <c r="I4" s="192"/>
      <c r="J4" s="192"/>
    </row>
    <row r="5" spans="2:10" ht="9.75" customHeight="1" x14ac:dyDescent="0.35"/>
    <row r="6" spans="2:10" ht="24" customHeight="1" x14ac:dyDescent="0.35">
      <c r="B6" s="6" t="s">
        <v>32</v>
      </c>
      <c r="C6" s="6"/>
      <c r="D6" s="6"/>
      <c r="E6" s="6"/>
      <c r="F6" s="6"/>
      <c r="G6" s="6"/>
      <c r="H6" s="6"/>
      <c r="I6" s="6"/>
      <c r="J6" s="6"/>
    </row>
    <row r="7" spans="2:10" ht="25.5" customHeight="1" x14ac:dyDescent="0.35">
      <c r="B7" s="22" t="s">
        <v>33</v>
      </c>
      <c r="C7" s="193"/>
      <c r="D7" s="193"/>
      <c r="E7" s="193"/>
      <c r="F7" s="193"/>
      <c r="G7" s="193"/>
      <c r="H7" s="193"/>
      <c r="I7" s="193"/>
      <c r="J7" s="193"/>
    </row>
    <row r="8" spans="2:10" ht="25.5" customHeight="1" x14ac:dyDescent="0.35">
      <c r="B8" s="22" t="s">
        <v>34</v>
      </c>
      <c r="C8" s="192"/>
      <c r="D8" s="192"/>
      <c r="E8" s="192"/>
      <c r="F8" s="192"/>
      <c r="G8" s="192"/>
      <c r="H8" s="192"/>
      <c r="I8" s="192"/>
      <c r="J8" s="192"/>
    </row>
    <row r="9" spans="2:10" ht="25.5" customHeight="1" x14ac:dyDescent="0.35">
      <c r="B9" s="22" t="s">
        <v>35</v>
      </c>
      <c r="C9" s="193"/>
      <c r="D9" s="193"/>
      <c r="E9" s="193"/>
      <c r="F9" s="193"/>
      <c r="G9" s="193"/>
      <c r="H9" s="193"/>
      <c r="I9" s="193"/>
      <c r="J9" s="193"/>
    </row>
    <row r="10" spans="2:10" ht="9.75" customHeight="1" x14ac:dyDescent="0.35"/>
    <row r="11" spans="2:10" ht="24" customHeight="1" x14ac:dyDescent="0.35">
      <c r="B11" s="6" t="s">
        <v>36</v>
      </c>
      <c r="C11" s="6"/>
      <c r="D11" s="6"/>
      <c r="E11" s="6"/>
      <c r="F11" s="6"/>
      <c r="G11" s="6"/>
      <c r="H11" s="6"/>
      <c r="I11" s="6"/>
      <c r="J11" s="6"/>
    </row>
    <row r="12" spans="2:10" ht="21.75" customHeight="1" x14ac:dyDescent="0.35">
      <c r="B12" s="21" t="s">
        <v>37</v>
      </c>
      <c r="C12" s="23" t="s">
        <v>38</v>
      </c>
      <c r="D12" s="23" t="s">
        <v>39</v>
      </c>
      <c r="E12" s="23" t="s">
        <v>40</v>
      </c>
      <c r="F12" s="23" t="s">
        <v>41</v>
      </c>
      <c r="G12" s="23" t="s">
        <v>42</v>
      </c>
      <c r="H12" s="24" t="s">
        <v>43</v>
      </c>
      <c r="I12" s="24" t="s">
        <v>44</v>
      </c>
    </row>
    <row r="13" spans="2:10" ht="36" customHeight="1" x14ac:dyDescent="0.35">
      <c r="B13" s="25" t="s">
        <v>45</v>
      </c>
      <c r="C13" s="26"/>
      <c r="D13" s="26"/>
      <c r="E13" s="26"/>
      <c r="F13" s="26"/>
      <c r="G13" s="26"/>
      <c r="H13" s="27"/>
      <c r="I13" s="27"/>
    </row>
    <row r="14" spans="2:10" ht="36" customHeight="1" x14ac:dyDescent="0.35">
      <c r="B14" s="25" t="s">
        <v>46</v>
      </c>
      <c r="C14" s="28"/>
      <c r="D14" s="28"/>
      <c r="E14" s="28"/>
      <c r="F14" s="28"/>
      <c r="G14" s="28"/>
      <c r="H14" s="27"/>
      <c r="I14" s="27"/>
    </row>
    <row r="15" spans="2:10" ht="36" customHeight="1" x14ac:dyDescent="0.35">
      <c r="B15" s="25" t="s">
        <v>47</v>
      </c>
      <c r="C15" s="26"/>
      <c r="D15" s="26"/>
      <c r="E15" s="26"/>
      <c r="F15" s="26"/>
      <c r="G15" s="26"/>
      <c r="H15" s="27"/>
      <c r="I15" s="27"/>
    </row>
    <row r="16" spans="2:10" ht="36" customHeight="1" x14ac:dyDescent="0.35">
      <c r="B16" s="25" t="s">
        <v>48</v>
      </c>
      <c r="C16" s="28"/>
      <c r="D16" s="28"/>
      <c r="E16" s="28"/>
      <c r="F16" s="28"/>
      <c r="G16" s="28"/>
      <c r="H16" s="27"/>
      <c r="I16" s="27"/>
    </row>
    <row r="17" spans="2:10" ht="36" customHeight="1" x14ac:dyDescent="0.35">
      <c r="B17" s="25" t="s">
        <v>49</v>
      </c>
      <c r="C17" s="26"/>
      <c r="D17" s="26"/>
      <c r="E17" s="26"/>
      <c r="F17" s="26"/>
      <c r="G17" s="26"/>
      <c r="H17" s="27"/>
      <c r="I17" s="27"/>
    </row>
    <row r="18" spans="2:10" ht="9.75" customHeight="1" x14ac:dyDescent="0.35"/>
    <row r="19" spans="2:10" ht="24" customHeight="1" x14ac:dyDescent="0.35">
      <c r="B19" s="6" t="s">
        <v>50</v>
      </c>
      <c r="C19" s="6"/>
      <c r="D19" s="6"/>
      <c r="E19" s="6"/>
      <c r="F19" s="6"/>
      <c r="G19" s="6"/>
      <c r="H19" s="6"/>
      <c r="I19" s="6"/>
      <c r="J19" s="6"/>
    </row>
    <row r="20" spans="2:10" ht="19.5" customHeight="1" x14ac:dyDescent="0.35">
      <c r="B20" s="21" t="s">
        <v>51</v>
      </c>
      <c r="C20" s="23" t="s">
        <v>38</v>
      </c>
      <c r="D20" s="23" t="s">
        <v>39</v>
      </c>
      <c r="E20" s="23" t="s">
        <v>40</v>
      </c>
      <c r="F20" s="23" t="s">
        <v>41</v>
      </c>
      <c r="G20" s="23" t="s">
        <v>42</v>
      </c>
      <c r="H20" s="24" t="s">
        <v>43</v>
      </c>
      <c r="I20" s="24" t="s">
        <v>44</v>
      </c>
    </row>
    <row r="21" spans="2:10" ht="21.75" customHeight="1" x14ac:dyDescent="0.35">
      <c r="B21" s="29" t="s">
        <v>52</v>
      </c>
      <c r="C21" s="30"/>
      <c r="D21" s="30"/>
      <c r="E21" s="30"/>
      <c r="F21" s="30"/>
      <c r="G21" s="30"/>
      <c r="H21" s="31"/>
      <c r="I21" s="31"/>
    </row>
    <row r="22" spans="2:10" ht="21.75" customHeight="1" x14ac:dyDescent="0.35">
      <c r="B22" s="32" t="s">
        <v>53</v>
      </c>
      <c r="C22" s="33"/>
      <c r="D22" s="33"/>
      <c r="E22" s="33"/>
      <c r="F22" s="33"/>
      <c r="G22" s="33"/>
      <c r="H22" s="31"/>
      <c r="I22" s="31"/>
    </row>
    <row r="23" spans="2:10" ht="21.75" customHeight="1" x14ac:dyDescent="0.35">
      <c r="B23" s="29" t="s">
        <v>54</v>
      </c>
      <c r="C23" s="30"/>
      <c r="D23" s="30"/>
      <c r="E23" s="30"/>
      <c r="F23" s="30"/>
      <c r="G23" s="30"/>
      <c r="H23" s="31"/>
      <c r="I23" s="31"/>
    </row>
    <row r="24" spans="2:10" ht="21.75" customHeight="1" x14ac:dyDescent="0.35">
      <c r="B24" s="32" t="s">
        <v>55</v>
      </c>
      <c r="C24" s="33"/>
      <c r="D24" s="33"/>
      <c r="E24" s="33"/>
      <c r="F24" s="33"/>
      <c r="G24" s="33"/>
      <c r="H24" s="31"/>
      <c r="I24" s="31"/>
    </row>
    <row r="25" spans="2:10" ht="21.75" customHeight="1" x14ac:dyDescent="0.35">
      <c r="B25" s="29" t="s">
        <v>56</v>
      </c>
      <c r="C25" s="30"/>
      <c r="D25" s="30"/>
      <c r="E25" s="30"/>
      <c r="F25" s="30"/>
      <c r="G25" s="30"/>
      <c r="H25" s="31"/>
      <c r="I25" s="31"/>
    </row>
    <row r="26" spans="2:10" ht="21.75" customHeight="1" x14ac:dyDescent="0.35">
      <c r="B26" s="34" t="s">
        <v>57</v>
      </c>
      <c r="C26" s="33"/>
      <c r="D26" s="33"/>
      <c r="E26" s="33"/>
      <c r="F26" s="33"/>
      <c r="G26" s="33"/>
      <c r="H26" s="31"/>
      <c r="I26" s="31"/>
    </row>
    <row r="27" spans="2:10" ht="21.75" customHeight="1" x14ac:dyDescent="0.35">
      <c r="B27" s="35" t="s">
        <v>57</v>
      </c>
      <c r="C27" s="30"/>
      <c r="D27" s="30"/>
      <c r="E27" s="30"/>
      <c r="F27" s="30"/>
      <c r="G27" s="30"/>
      <c r="H27" s="31"/>
      <c r="I27" s="31"/>
    </row>
    <row r="28" spans="2:10" ht="9.75" customHeight="1" x14ac:dyDescent="0.35"/>
    <row r="29" spans="2:10" ht="21.75" customHeight="1" x14ac:dyDescent="0.35">
      <c r="B29" s="36" t="s">
        <v>58</v>
      </c>
      <c r="C29" s="37">
        <f t="shared" ref="C29:I29" si="0">COUNTIF(C21:C27,"✓")</f>
        <v>0</v>
      </c>
      <c r="D29" s="37">
        <f t="shared" si="0"/>
        <v>0</v>
      </c>
      <c r="E29" s="37">
        <f t="shared" si="0"/>
        <v>0</v>
      </c>
      <c r="F29" s="37">
        <f t="shared" si="0"/>
        <v>0</v>
      </c>
      <c r="G29" s="37">
        <f t="shared" si="0"/>
        <v>0</v>
      </c>
      <c r="H29" s="37">
        <f t="shared" si="0"/>
        <v>0</v>
      </c>
      <c r="I29" s="37">
        <f t="shared" si="0"/>
        <v>0</v>
      </c>
    </row>
    <row r="30" spans="2:10" ht="9.75" customHeight="1" x14ac:dyDescent="0.35"/>
    <row r="31" spans="2:10" ht="24" customHeight="1" x14ac:dyDescent="0.35">
      <c r="B31" s="6" t="s">
        <v>59</v>
      </c>
      <c r="C31" s="6"/>
      <c r="D31" s="6"/>
      <c r="E31" s="6"/>
      <c r="F31" s="6"/>
      <c r="G31" s="6"/>
      <c r="H31" s="6"/>
      <c r="I31" s="6"/>
      <c r="J31" s="6"/>
    </row>
    <row r="32" spans="2:10" ht="21.75" customHeight="1" x14ac:dyDescent="0.35">
      <c r="B32" s="38" t="s">
        <v>60</v>
      </c>
      <c r="C32" s="39"/>
      <c r="D32" s="39"/>
      <c r="E32" s="39"/>
      <c r="F32" s="39"/>
      <c r="G32" s="39"/>
      <c r="H32" s="39"/>
      <c r="I32" s="39"/>
    </row>
    <row r="33" spans="2:10" ht="21.75" customHeight="1" x14ac:dyDescent="0.35">
      <c r="B33" s="32" t="s">
        <v>61</v>
      </c>
      <c r="C33" s="40"/>
      <c r="D33" s="40"/>
      <c r="E33" s="40"/>
      <c r="F33" s="40"/>
      <c r="G33" s="40"/>
      <c r="H33" s="40"/>
      <c r="I33" s="40"/>
    </row>
    <row r="34" spans="2:10" ht="21.75" customHeight="1" x14ac:dyDescent="0.35">
      <c r="B34" s="38" t="s">
        <v>62</v>
      </c>
      <c r="C34" s="39"/>
      <c r="D34" s="39"/>
      <c r="E34" s="39"/>
      <c r="F34" s="39"/>
      <c r="G34" s="39"/>
      <c r="H34" s="39"/>
      <c r="I34" s="39"/>
    </row>
    <row r="35" spans="2:10" ht="21.75" customHeight="1" x14ac:dyDescent="0.35">
      <c r="B35" s="41" t="s">
        <v>63</v>
      </c>
      <c r="C35" s="42" t="str">
        <f t="shared" ref="C35:I35" si="1">IFERROR(AVERAGE(C32:C34),"")</f>
        <v/>
      </c>
      <c r="D35" s="42" t="str">
        <f t="shared" si="1"/>
        <v/>
      </c>
      <c r="E35" s="42" t="str">
        <f t="shared" si="1"/>
        <v/>
      </c>
      <c r="F35" s="42" t="str">
        <f t="shared" si="1"/>
        <v/>
      </c>
      <c r="G35" s="42" t="str">
        <f t="shared" si="1"/>
        <v/>
      </c>
      <c r="H35" s="42" t="str">
        <f t="shared" si="1"/>
        <v/>
      </c>
      <c r="I35" s="42" t="str">
        <f t="shared" si="1"/>
        <v/>
      </c>
    </row>
    <row r="36" spans="2:10" ht="9.75" customHeight="1" x14ac:dyDescent="0.35"/>
    <row r="37" spans="2:10" ht="24" customHeight="1" x14ac:dyDescent="0.35">
      <c r="B37" s="6" t="s">
        <v>64</v>
      </c>
      <c r="C37" s="6"/>
      <c r="D37" s="6"/>
      <c r="E37" s="6"/>
      <c r="F37" s="6"/>
      <c r="G37" s="6"/>
      <c r="H37" s="6"/>
      <c r="I37" s="6"/>
      <c r="J37" s="6"/>
    </row>
    <row r="38" spans="2:10" ht="21.75" customHeight="1" x14ac:dyDescent="0.35">
      <c r="B38" s="191" t="s">
        <v>65</v>
      </c>
      <c r="C38" s="191"/>
      <c r="D38" s="191"/>
      <c r="E38" s="191"/>
      <c r="F38" s="191"/>
      <c r="G38" s="191"/>
      <c r="H38" s="191"/>
      <c r="I38" s="191"/>
      <c r="J38" s="191"/>
    </row>
    <row r="39" spans="2:10" ht="36" customHeight="1" x14ac:dyDescent="0.35">
      <c r="B39" s="194"/>
      <c r="C39" s="194"/>
      <c r="D39" s="194"/>
      <c r="E39" s="194"/>
      <c r="F39" s="194"/>
      <c r="G39" s="194"/>
      <c r="H39" s="194"/>
      <c r="I39" s="194"/>
      <c r="J39" s="194"/>
    </row>
    <row r="40" spans="2:10" ht="21.75" customHeight="1" x14ac:dyDescent="0.35">
      <c r="B40" s="195" t="s">
        <v>66</v>
      </c>
      <c r="C40" s="195"/>
      <c r="D40" s="195"/>
      <c r="E40" s="195"/>
      <c r="F40" s="195"/>
      <c r="G40" s="195"/>
      <c r="H40" s="195"/>
      <c r="I40" s="195"/>
      <c r="J40" s="195"/>
    </row>
    <row r="41" spans="2:10" ht="36" customHeight="1" x14ac:dyDescent="0.35">
      <c r="B41" s="196"/>
      <c r="C41" s="196"/>
      <c r="D41" s="196"/>
      <c r="E41" s="196"/>
      <c r="F41" s="196"/>
      <c r="G41" s="196"/>
      <c r="H41" s="196"/>
      <c r="I41" s="196"/>
      <c r="J41" s="196"/>
    </row>
    <row r="42" spans="2:10" ht="21.75" customHeight="1" x14ac:dyDescent="0.35">
      <c r="B42" s="191" t="s">
        <v>67</v>
      </c>
      <c r="C42" s="191"/>
      <c r="D42" s="191"/>
      <c r="E42" s="191"/>
      <c r="F42" s="191"/>
      <c r="G42" s="191"/>
      <c r="H42" s="191"/>
      <c r="I42" s="191"/>
      <c r="J42" s="191"/>
    </row>
    <row r="43" spans="2:10" ht="36" customHeight="1" x14ac:dyDescent="0.35">
      <c r="B43" s="194"/>
      <c r="C43" s="194"/>
      <c r="D43" s="194"/>
      <c r="E43" s="194"/>
      <c r="F43" s="194"/>
      <c r="G43" s="194"/>
      <c r="H43" s="194"/>
      <c r="I43" s="194"/>
      <c r="J43" s="194"/>
    </row>
    <row r="44" spans="2:10" ht="21.75" customHeight="1" x14ac:dyDescent="0.35">
      <c r="B44" s="195" t="s">
        <v>68</v>
      </c>
      <c r="C44" s="195"/>
      <c r="D44" s="195"/>
      <c r="E44" s="195"/>
      <c r="F44" s="195"/>
      <c r="G44" s="195"/>
      <c r="H44" s="195"/>
      <c r="I44" s="195"/>
      <c r="J44" s="195"/>
    </row>
    <row r="45" spans="2:10" ht="27.75" customHeight="1" x14ac:dyDescent="0.35">
      <c r="B45" s="196"/>
      <c r="C45" s="196"/>
      <c r="D45" s="196"/>
      <c r="E45" s="196"/>
      <c r="F45" s="196"/>
      <c r="G45" s="196"/>
      <c r="H45" s="196"/>
      <c r="I45" s="196"/>
      <c r="J45" s="196"/>
    </row>
  </sheetData>
  <mergeCells count="22">
    <mergeCell ref="B45:J45"/>
    <mergeCell ref="B40:J40"/>
    <mergeCell ref="B41:J41"/>
    <mergeCell ref="B42:J42"/>
    <mergeCell ref="B43:J43"/>
    <mergeCell ref="B44:J44"/>
    <mergeCell ref="B19:J19"/>
    <mergeCell ref="B31:J31"/>
    <mergeCell ref="B37:J37"/>
    <mergeCell ref="B38:J38"/>
    <mergeCell ref="B39:J39"/>
    <mergeCell ref="B6:J6"/>
    <mergeCell ref="C7:J7"/>
    <mergeCell ref="C8:J8"/>
    <mergeCell ref="C9:J9"/>
    <mergeCell ref="B11:J11"/>
    <mergeCell ref="B1:J1"/>
    <mergeCell ref="B2:J3"/>
    <mergeCell ref="B4:C4"/>
    <mergeCell ref="D4:E4"/>
    <mergeCell ref="F4:G4"/>
    <mergeCell ref="H4:J4"/>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E57"/>
  <sheetViews>
    <sheetView showGridLines="0" zoomScaleNormal="100" workbookViewId="0"/>
  </sheetViews>
  <sheetFormatPr defaultColWidth="8.6328125" defaultRowHeight="14.5" x14ac:dyDescent="0.35"/>
  <cols>
    <col min="1" max="1" width="2" customWidth="1"/>
    <col min="2" max="2" width="32" customWidth="1"/>
    <col min="3" max="5" width="20" customWidth="1"/>
    <col min="6" max="6" width="2" customWidth="1"/>
  </cols>
  <sheetData>
    <row r="1" spans="2:5" ht="9.75" customHeight="1" x14ac:dyDescent="0.35">
      <c r="B1" s="14"/>
      <c r="C1" s="14"/>
      <c r="D1" s="14"/>
      <c r="E1" s="14"/>
    </row>
    <row r="2" spans="2:5" ht="39.75" customHeight="1" x14ac:dyDescent="0.35">
      <c r="B2" s="190" t="s">
        <v>69</v>
      </c>
      <c r="C2" s="190"/>
      <c r="D2" s="190"/>
      <c r="E2" s="190"/>
    </row>
    <row r="3" spans="2:5" ht="19.5" customHeight="1" x14ac:dyDescent="0.35">
      <c r="B3" s="190"/>
      <c r="C3" s="190"/>
      <c r="D3" s="190"/>
      <c r="E3" s="190"/>
    </row>
    <row r="4" spans="2:5" ht="25.5" customHeight="1" x14ac:dyDescent="0.35">
      <c r="B4" s="36" t="s">
        <v>70</v>
      </c>
      <c r="C4" s="192"/>
      <c r="D4" s="192"/>
      <c r="E4" s="192"/>
    </row>
    <row r="5" spans="2:5" ht="9.75" customHeight="1" x14ac:dyDescent="0.35"/>
    <row r="6" spans="2:5" ht="24" customHeight="1" x14ac:dyDescent="0.35">
      <c r="B6" s="197" t="s">
        <v>71</v>
      </c>
      <c r="C6" s="197"/>
      <c r="D6" s="197"/>
      <c r="E6" s="197"/>
    </row>
    <row r="7" spans="2:5" ht="19.5" customHeight="1" x14ac:dyDescent="0.35">
      <c r="B7" s="23" t="s">
        <v>72</v>
      </c>
      <c r="C7" s="23" t="s">
        <v>73</v>
      </c>
      <c r="D7" s="23" t="s">
        <v>74</v>
      </c>
      <c r="E7" s="23" t="s">
        <v>75</v>
      </c>
    </row>
    <row r="8" spans="2:5" ht="21.75" customHeight="1" x14ac:dyDescent="0.35">
      <c r="B8" s="43" t="s">
        <v>76</v>
      </c>
      <c r="C8" s="44">
        <v>0</v>
      </c>
      <c r="D8" s="44">
        <v>0</v>
      </c>
      <c r="E8" s="45">
        <f>D8-C8</f>
        <v>0</v>
      </c>
    </row>
    <row r="9" spans="2:5" ht="21.75" customHeight="1" x14ac:dyDescent="0.35">
      <c r="B9" s="32" t="s">
        <v>77</v>
      </c>
      <c r="C9" s="46">
        <v>0</v>
      </c>
      <c r="D9" s="46">
        <v>0</v>
      </c>
      <c r="E9" s="47">
        <f>D9-C9</f>
        <v>0</v>
      </c>
    </row>
    <row r="10" spans="2:5" ht="21.75" customHeight="1" x14ac:dyDescent="0.35">
      <c r="B10" s="43" t="s">
        <v>78</v>
      </c>
      <c r="C10" s="44">
        <v>0</v>
      </c>
      <c r="D10" s="44">
        <v>0</v>
      </c>
      <c r="E10" s="45">
        <f>D10-C10</f>
        <v>0</v>
      </c>
    </row>
    <row r="11" spans="2:5" ht="21.75" customHeight="1" x14ac:dyDescent="0.35">
      <c r="B11" s="32" t="s">
        <v>79</v>
      </c>
      <c r="C11" s="46">
        <v>0</v>
      </c>
      <c r="D11" s="46">
        <v>0</v>
      </c>
      <c r="E11" s="47">
        <f>D11-C11</f>
        <v>0</v>
      </c>
    </row>
    <row r="12" spans="2:5" ht="21.75" customHeight="1" x14ac:dyDescent="0.35">
      <c r="B12" s="43" t="s">
        <v>79</v>
      </c>
      <c r="C12" s="44">
        <v>0</v>
      </c>
      <c r="D12" s="44">
        <v>0</v>
      </c>
      <c r="E12" s="45">
        <f>D12-C12</f>
        <v>0</v>
      </c>
    </row>
    <row r="13" spans="2:5" ht="24" customHeight="1" x14ac:dyDescent="0.35">
      <c r="B13" s="48" t="s">
        <v>80</v>
      </c>
      <c r="C13" s="49">
        <f>SUM(C8:C12)</f>
        <v>0</v>
      </c>
      <c r="D13" s="49">
        <f>SUM(D8:D12)</f>
        <v>0</v>
      </c>
      <c r="E13" s="49">
        <f>SUM(E8:E12)</f>
        <v>0</v>
      </c>
    </row>
    <row r="14" spans="2:5" ht="9.75" customHeight="1" x14ac:dyDescent="0.35"/>
    <row r="15" spans="2:5" ht="24" customHeight="1" x14ac:dyDescent="0.35">
      <c r="B15" s="6" t="s">
        <v>81</v>
      </c>
      <c r="C15" s="6"/>
      <c r="D15" s="6"/>
      <c r="E15" s="6"/>
    </row>
    <row r="16" spans="2:5" ht="19.5" customHeight="1" x14ac:dyDescent="0.35">
      <c r="B16" s="50" t="s">
        <v>82</v>
      </c>
      <c r="C16" s="50" t="s">
        <v>73</v>
      </c>
      <c r="D16" s="50" t="s">
        <v>74</v>
      </c>
      <c r="E16" s="50" t="s">
        <v>75</v>
      </c>
    </row>
    <row r="17" spans="2:5" ht="21.75" customHeight="1" x14ac:dyDescent="0.35">
      <c r="B17" s="51" t="s">
        <v>83</v>
      </c>
      <c r="C17" s="52">
        <v>0</v>
      </c>
      <c r="D17" s="52">
        <v>0</v>
      </c>
      <c r="E17" s="52">
        <f t="shared" ref="E17:E23" si="0">D17-C17</f>
        <v>0</v>
      </c>
    </row>
    <row r="18" spans="2:5" ht="21.75" customHeight="1" x14ac:dyDescent="0.35">
      <c r="B18" s="32" t="s">
        <v>84</v>
      </c>
      <c r="C18" s="46">
        <v>0</v>
      </c>
      <c r="D18" s="46">
        <v>0</v>
      </c>
      <c r="E18" s="46">
        <f t="shared" si="0"/>
        <v>0</v>
      </c>
    </row>
    <row r="19" spans="2:5" ht="21.75" customHeight="1" x14ac:dyDescent="0.35">
      <c r="B19" s="51" t="s">
        <v>85</v>
      </c>
      <c r="C19" s="52">
        <v>0</v>
      </c>
      <c r="D19" s="52">
        <v>0</v>
      </c>
      <c r="E19" s="52">
        <f t="shared" si="0"/>
        <v>0</v>
      </c>
    </row>
    <row r="20" spans="2:5" ht="21.75" customHeight="1" x14ac:dyDescent="0.35">
      <c r="B20" s="32" t="s">
        <v>86</v>
      </c>
      <c r="C20" s="46">
        <v>0</v>
      </c>
      <c r="D20" s="46">
        <v>0</v>
      </c>
      <c r="E20" s="46">
        <f t="shared" si="0"/>
        <v>0</v>
      </c>
    </row>
    <row r="21" spans="2:5" ht="21.75" customHeight="1" x14ac:dyDescent="0.35">
      <c r="B21" s="51" t="s">
        <v>87</v>
      </c>
      <c r="C21" s="52">
        <v>0</v>
      </c>
      <c r="D21" s="52">
        <v>0</v>
      </c>
      <c r="E21" s="52">
        <f t="shared" si="0"/>
        <v>0</v>
      </c>
    </row>
    <row r="22" spans="2:5" ht="21.75" customHeight="1" x14ac:dyDescent="0.35">
      <c r="B22" s="32" t="s">
        <v>88</v>
      </c>
      <c r="C22" s="46">
        <v>0</v>
      </c>
      <c r="D22" s="46">
        <v>0</v>
      </c>
      <c r="E22" s="46">
        <f t="shared" si="0"/>
        <v>0</v>
      </c>
    </row>
    <row r="23" spans="2:5" ht="21.75" customHeight="1" x14ac:dyDescent="0.35">
      <c r="B23" s="51" t="s">
        <v>88</v>
      </c>
      <c r="C23" s="52">
        <v>0</v>
      </c>
      <c r="D23" s="52">
        <v>0</v>
      </c>
      <c r="E23" s="52">
        <f t="shared" si="0"/>
        <v>0</v>
      </c>
    </row>
    <row r="24" spans="2:5" ht="24" customHeight="1" x14ac:dyDescent="0.35">
      <c r="B24" s="53" t="s">
        <v>89</v>
      </c>
      <c r="C24" s="54">
        <f>SUM(C17:C23)</f>
        <v>0</v>
      </c>
      <c r="D24" s="54">
        <f>SUM(D17:D23)</f>
        <v>0</v>
      </c>
      <c r="E24" s="54">
        <f>SUM(E17:E23)</f>
        <v>0</v>
      </c>
    </row>
    <row r="25" spans="2:5" ht="9.75" customHeight="1" x14ac:dyDescent="0.35"/>
    <row r="26" spans="2:5" ht="24" customHeight="1" x14ac:dyDescent="0.35">
      <c r="B26" s="6" t="s">
        <v>90</v>
      </c>
      <c r="C26" s="6"/>
      <c r="D26" s="6"/>
      <c r="E26" s="6"/>
    </row>
    <row r="27" spans="2:5" ht="19.5" customHeight="1" x14ac:dyDescent="0.35">
      <c r="B27" s="24" t="s">
        <v>82</v>
      </c>
      <c r="C27" s="24" t="s">
        <v>73</v>
      </c>
      <c r="D27" s="24" t="s">
        <v>74</v>
      </c>
      <c r="E27" s="24" t="s">
        <v>75</v>
      </c>
    </row>
    <row r="28" spans="2:5" ht="21.75" customHeight="1" x14ac:dyDescent="0.35">
      <c r="B28" s="55" t="s">
        <v>91</v>
      </c>
      <c r="C28" s="56">
        <v>0</v>
      </c>
      <c r="D28" s="56">
        <v>0</v>
      </c>
      <c r="E28" s="56">
        <f t="shared" ref="E28:E35" si="1">D28-C28</f>
        <v>0</v>
      </c>
    </row>
    <row r="29" spans="2:5" ht="21.75" customHeight="1" x14ac:dyDescent="0.35">
      <c r="B29" s="32" t="s">
        <v>92</v>
      </c>
      <c r="C29" s="46">
        <v>0</v>
      </c>
      <c r="D29" s="46">
        <v>0</v>
      </c>
      <c r="E29" s="46">
        <f t="shared" si="1"/>
        <v>0</v>
      </c>
    </row>
    <row r="30" spans="2:5" ht="21.75" customHeight="1" x14ac:dyDescent="0.35">
      <c r="B30" s="55" t="s">
        <v>93</v>
      </c>
      <c r="C30" s="56">
        <v>0</v>
      </c>
      <c r="D30" s="56">
        <v>0</v>
      </c>
      <c r="E30" s="56">
        <f t="shared" si="1"/>
        <v>0</v>
      </c>
    </row>
    <row r="31" spans="2:5" ht="21.75" customHeight="1" x14ac:dyDescent="0.35">
      <c r="B31" s="32" t="s">
        <v>94</v>
      </c>
      <c r="C31" s="46">
        <v>0</v>
      </c>
      <c r="D31" s="46">
        <v>0</v>
      </c>
      <c r="E31" s="46">
        <f t="shared" si="1"/>
        <v>0</v>
      </c>
    </row>
    <row r="32" spans="2:5" ht="21.75" customHeight="1" x14ac:dyDescent="0.35">
      <c r="B32" s="55" t="s">
        <v>95</v>
      </c>
      <c r="C32" s="56">
        <v>0</v>
      </c>
      <c r="D32" s="56">
        <v>0</v>
      </c>
      <c r="E32" s="56">
        <f t="shared" si="1"/>
        <v>0</v>
      </c>
    </row>
    <row r="33" spans="2:5" ht="21.75" customHeight="1" x14ac:dyDescent="0.35">
      <c r="B33" s="32" t="s">
        <v>96</v>
      </c>
      <c r="C33" s="46">
        <v>0</v>
      </c>
      <c r="D33" s="46">
        <v>0</v>
      </c>
      <c r="E33" s="46">
        <f t="shared" si="1"/>
        <v>0</v>
      </c>
    </row>
    <row r="34" spans="2:5" ht="21.75" customHeight="1" x14ac:dyDescent="0.35">
      <c r="B34" s="55" t="s">
        <v>97</v>
      </c>
      <c r="C34" s="56">
        <v>0</v>
      </c>
      <c r="D34" s="56">
        <v>0</v>
      </c>
      <c r="E34" s="56">
        <f t="shared" si="1"/>
        <v>0</v>
      </c>
    </row>
    <row r="35" spans="2:5" ht="21.75" customHeight="1" x14ac:dyDescent="0.35">
      <c r="B35" s="32" t="s">
        <v>98</v>
      </c>
      <c r="C35" s="46">
        <v>0</v>
      </c>
      <c r="D35" s="46">
        <v>0</v>
      </c>
      <c r="E35" s="46">
        <f t="shared" si="1"/>
        <v>0</v>
      </c>
    </row>
    <row r="36" spans="2:5" ht="24" customHeight="1" x14ac:dyDescent="0.35">
      <c r="B36" s="57" t="s">
        <v>99</v>
      </c>
      <c r="C36" s="58">
        <f>SUM(C28:C35)</f>
        <v>0</v>
      </c>
      <c r="D36" s="58">
        <f>SUM(D28:D35)</f>
        <v>0</v>
      </c>
      <c r="E36" s="58">
        <f>SUM(E28:E35)</f>
        <v>0</v>
      </c>
    </row>
    <row r="37" spans="2:5" ht="9.75" customHeight="1" x14ac:dyDescent="0.35"/>
    <row r="38" spans="2:5" ht="24" customHeight="1" x14ac:dyDescent="0.35">
      <c r="B38" s="6" t="s">
        <v>100</v>
      </c>
      <c r="C38" s="6"/>
      <c r="D38" s="6"/>
      <c r="E38" s="6"/>
    </row>
    <row r="39" spans="2:5" ht="21.75" customHeight="1" x14ac:dyDescent="0.35">
      <c r="B39" s="38" t="s">
        <v>101</v>
      </c>
      <c r="C39" s="59">
        <v>0</v>
      </c>
      <c r="D39" s="59">
        <v>0</v>
      </c>
      <c r="E39" s="59">
        <f>D39-C39</f>
        <v>0</v>
      </c>
    </row>
    <row r="40" spans="2:5" ht="21.75" customHeight="1" x14ac:dyDescent="0.35">
      <c r="B40" s="32" t="s">
        <v>102</v>
      </c>
      <c r="C40" s="46">
        <v>0</v>
      </c>
      <c r="D40" s="46">
        <v>0</v>
      </c>
      <c r="E40" s="46">
        <f>D40-C40</f>
        <v>0</v>
      </c>
    </row>
    <row r="41" spans="2:5" ht="21.75" customHeight="1" x14ac:dyDescent="0.35">
      <c r="B41" s="38" t="s">
        <v>103</v>
      </c>
      <c r="C41" s="59">
        <v>0</v>
      </c>
      <c r="D41" s="59">
        <v>0</v>
      </c>
      <c r="E41" s="59">
        <f>D41-C41</f>
        <v>0</v>
      </c>
    </row>
    <row r="42" spans="2:5" ht="21.75" customHeight="1" x14ac:dyDescent="0.35">
      <c r="B42" s="32" t="s">
        <v>104</v>
      </c>
      <c r="C42" s="46">
        <v>0</v>
      </c>
      <c r="D42" s="46">
        <v>0</v>
      </c>
      <c r="E42" s="46">
        <f>D42-C42</f>
        <v>0</v>
      </c>
    </row>
    <row r="43" spans="2:5" ht="21.75" customHeight="1" x14ac:dyDescent="0.35">
      <c r="B43" s="60" t="s">
        <v>105</v>
      </c>
      <c r="C43" s="61">
        <f>SUM(C39:C42)</f>
        <v>0</v>
      </c>
      <c r="D43" s="61">
        <f>SUM(D39:D42)</f>
        <v>0</v>
      </c>
      <c r="E43" s="61">
        <f>SUM(E39:E42)</f>
        <v>0</v>
      </c>
    </row>
    <row r="44" spans="2:5" ht="24" customHeight="1" x14ac:dyDescent="0.35">
      <c r="B44" s="62" t="s">
        <v>106</v>
      </c>
      <c r="C44" s="198">
        <f>C13</f>
        <v>0</v>
      </c>
      <c r="D44" s="198"/>
      <c r="E44" s="198"/>
    </row>
    <row r="45" spans="2:5" ht="24" customHeight="1" x14ac:dyDescent="0.35">
      <c r="B45" s="62" t="s">
        <v>107</v>
      </c>
      <c r="C45" s="198">
        <f>D13</f>
        <v>0</v>
      </c>
      <c r="D45" s="198"/>
      <c r="E45" s="198"/>
    </row>
    <row r="46" spans="2:5" ht="24" customHeight="1" x14ac:dyDescent="0.35">
      <c r="B46" s="63" t="s">
        <v>108</v>
      </c>
      <c r="C46" s="199">
        <f>C24+C36+C42</f>
        <v>0</v>
      </c>
      <c r="D46" s="199"/>
      <c r="E46" s="199"/>
    </row>
    <row r="47" spans="2:5" ht="24" customHeight="1" x14ac:dyDescent="0.35">
      <c r="B47" s="63" t="s">
        <v>109</v>
      </c>
      <c r="C47" s="199">
        <f>D24+D36+D42</f>
        <v>0</v>
      </c>
      <c r="D47" s="199"/>
      <c r="E47" s="199"/>
    </row>
    <row r="48" spans="2:5" ht="24" customHeight="1" x14ac:dyDescent="0.35">
      <c r="B48" s="64" t="s">
        <v>110</v>
      </c>
      <c r="C48" s="200">
        <f>C42</f>
        <v>0</v>
      </c>
      <c r="D48" s="200"/>
      <c r="E48" s="200"/>
    </row>
    <row r="49" spans="2:5" ht="24" customHeight="1" x14ac:dyDescent="0.35">
      <c r="B49" s="65" t="s">
        <v>111</v>
      </c>
      <c r="C49" s="201">
        <f>C13-C24-C36-C42</f>
        <v>0</v>
      </c>
      <c r="D49" s="201"/>
      <c r="E49" s="201"/>
    </row>
    <row r="50" spans="2:5" ht="24" customHeight="1" x14ac:dyDescent="0.35">
      <c r="B50" s="65" t="s">
        <v>112</v>
      </c>
      <c r="C50" s="201">
        <f>D13-D24-D36-D42</f>
        <v>0</v>
      </c>
      <c r="D50" s="201"/>
      <c r="E50" s="201"/>
    </row>
    <row r="52" spans="2:5" ht="7.5" customHeight="1" x14ac:dyDescent="0.35"/>
    <row r="53" spans="2:5" ht="25.5" customHeight="1" x14ac:dyDescent="0.35">
      <c r="B53" s="202" t="s">
        <v>113</v>
      </c>
      <c r="C53" s="202"/>
      <c r="D53" s="202"/>
      <c r="E53" s="202"/>
    </row>
    <row r="54" spans="2:5" ht="33.75" customHeight="1" x14ac:dyDescent="0.35">
      <c r="B54" s="66" t="s">
        <v>114</v>
      </c>
      <c r="C54" s="67" t="s">
        <v>115</v>
      </c>
      <c r="D54" s="68" t="s">
        <v>116</v>
      </c>
      <c r="E54" s="69" t="s">
        <v>117</v>
      </c>
    </row>
    <row r="55" spans="2:5" ht="30" customHeight="1" x14ac:dyDescent="0.35">
      <c r="B55" s="70">
        <f>IFERROR(D43/D13,0)</f>
        <v>0</v>
      </c>
      <c r="C55" s="71">
        <f>IFERROR((D24+D36)/D13,0)</f>
        <v>0</v>
      </c>
      <c r="D55" s="72">
        <f>D13-D24-D36-D43</f>
        <v>0</v>
      </c>
      <c r="E55" s="73">
        <f>IFERROR(D13/C13,0)</f>
        <v>0</v>
      </c>
    </row>
    <row r="56" spans="2:5" ht="7.5" customHeight="1" x14ac:dyDescent="0.35"/>
    <row r="57" spans="2:5" ht="25.5" customHeight="1" x14ac:dyDescent="0.35">
      <c r="B57" s="203" t="str">
        <f>IF(D55&gt;=0,"✅  Positive cash flow this month. Keep going.","⚠️  Negative cash flow this month. Review variable expenses.")</f>
        <v>✅  Positive cash flow this month. Keep going.</v>
      </c>
      <c r="C57" s="203"/>
      <c r="D57" s="203"/>
      <c r="E57" s="203"/>
    </row>
  </sheetData>
  <mergeCells count="16">
    <mergeCell ref="B57:E57"/>
    <mergeCell ref="C47:E47"/>
    <mergeCell ref="C48:E48"/>
    <mergeCell ref="C49:E49"/>
    <mergeCell ref="C50:E50"/>
    <mergeCell ref="B53:E53"/>
    <mergeCell ref="B26:E26"/>
    <mergeCell ref="B38:E38"/>
    <mergeCell ref="C44:E44"/>
    <mergeCell ref="C45:E45"/>
    <mergeCell ref="C46:E46"/>
    <mergeCell ref="B1:E1"/>
    <mergeCell ref="B2:E3"/>
    <mergeCell ref="C4:E4"/>
    <mergeCell ref="B6:E6"/>
    <mergeCell ref="B15:E15"/>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G50"/>
  <sheetViews>
    <sheetView showGridLines="0" zoomScaleNormal="100" workbookViewId="0"/>
  </sheetViews>
  <sheetFormatPr defaultColWidth="8.6328125" defaultRowHeight="14.5" x14ac:dyDescent="0.35"/>
  <cols>
    <col min="1" max="1" width="2" customWidth="1"/>
    <col min="2" max="2" width="26" customWidth="1"/>
    <col min="3" max="3" width="18" customWidth="1"/>
    <col min="4" max="4" width="16" customWidth="1"/>
    <col min="5" max="6" width="14" customWidth="1"/>
    <col min="7" max="7" width="26" customWidth="1"/>
    <col min="8" max="8" width="2" customWidth="1"/>
  </cols>
  <sheetData>
    <row r="1" spans="2:7" ht="9.75" customHeight="1" x14ac:dyDescent="0.35">
      <c r="B1" s="14"/>
      <c r="C1" s="14"/>
      <c r="D1" s="14"/>
      <c r="E1" s="14"/>
      <c r="F1" s="14"/>
      <c r="G1" s="14"/>
    </row>
    <row r="2" spans="2:7" ht="39.75" customHeight="1" x14ac:dyDescent="0.35">
      <c r="B2" s="190" t="s">
        <v>118</v>
      </c>
      <c r="C2" s="190"/>
      <c r="D2" s="190"/>
      <c r="E2" s="190"/>
      <c r="F2" s="190"/>
      <c r="G2" s="190"/>
    </row>
    <row r="3" spans="2:7" ht="19.5" customHeight="1" x14ac:dyDescent="0.35">
      <c r="B3" s="190"/>
      <c r="C3" s="190"/>
      <c r="D3" s="190"/>
      <c r="E3" s="190"/>
      <c r="F3" s="190"/>
      <c r="G3" s="190"/>
    </row>
    <row r="4" spans="2:7" ht="19.5" customHeight="1" x14ac:dyDescent="0.35">
      <c r="B4" s="204" t="s">
        <v>119</v>
      </c>
      <c r="C4" s="204"/>
      <c r="D4" s="204"/>
      <c r="E4" s="204"/>
      <c r="F4" s="204"/>
      <c r="G4" s="204"/>
    </row>
    <row r="5" spans="2:7" ht="9.75" customHeight="1" x14ac:dyDescent="0.35"/>
    <row r="6" spans="2:7" ht="24" customHeight="1" x14ac:dyDescent="0.35">
      <c r="B6" s="10" t="s">
        <v>120</v>
      </c>
      <c r="C6" s="10"/>
      <c r="D6" s="10"/>
      <c r="E6" s="10"/>
      <c r="F6" s="10"/>
      <c r="G6" s="10"/>
    </row>
    <row r="7" spans="2:7" ht="30" customHeight="1" x14ac:dyDescent="0.35">
      <c r="B7" s="21" t="s">
        <v>121</v>
      </c>
      <c r="C7" s="205" t="s">
        <v>122</v>
      </c>
      <c r="D7" s="205"/>
      <c r="E7" s="205"/>
      <c r="F7" s="205"/>
      <c r="G7" s="205"/>
    </row>
    <row r="8" spans="2:7" ht="24" customHeight="1" x14ac:dyDescent="0.35">
      <c r="B8" s="74" t="s">
        <v>123</v>
      </c>
      <c r="C8" s="75"/>
      <c r="D8" s="74" t="s">
        <v>124</v>
      </c>
      <c r="E8" s="75"/>
      <c r="F8" s="74" t="s">
        <v>125</v>
      </c>
      <c r="G8" s="76" t="s">
        <v>126</v>
      </c>
    </row>
    <row r="9" spans="2:7" ht="19.5" customHeight="1" x14ac:dyDescent="0.35">
      <c r="B9" s="74" t="s">
        <v>127</v>
      </c>
      <c r="C9" s="206"/>
      <c r="D9" s="206"/>
      <c r="E9" s="206"/>
      <c r="F9" s="206"/>
      <c r="G9" s="206"/>
    </row>
    <row r="10" spans="2:7" ht="36" customHeight="1" x14ac:dyDescent="0.35">
      <c r="B10" s="207"/>
      <c r="C10" s="207"/>
      <c r="D10" s="207"/>
      <c r="E10" s="207"/>
      <c r="F10" s="207"/>
      <c r="G10" s="207"/>
    </row>
    <row r="11" spans="2:7" ht="19.5" customHeight="1" x14ac:dyDescent="0.35">
      <c r="B11" s="77" t="s">
        <v>128</v>
      </c>
      <c r="C11" s="77" t="s">
        <v>129</v>
      </c>
      <c r="E11" s="77" t="s">
        <v>130</v>
      </c>
      <c r="F11" s="77" t="s">
        <v>131</v>
      </c>
      <c r="G11" s="77" t="s">
        <v>132</v>
      </c>
    </row>
    <row r="12" spans="2:7" ht="21.75" customHeight="1" x14ac:dyDescent="0.35">
      <c r="B12" s="78" t="s">
        <v>133</v>
      </c>
      <c r="C12" s="79"/>
      <c r="D12" s="80"/>
      <c r="E12" s="81"/>
      <c r="F12" s="82"/>
      <c r="G12" s="83"/>
    </row>
    <row r="13" spans="2:7" ht="21.75" customHeight="1" x14ac:dyDescent="0.35">
      <c r="B13" s="84" t="s">
        <v>134</v>
      </c>
      <c r="C13" s="85"/>
      <c r="D13" s="86"/>
      <c r="E13" s="87"/>
      <c r="F13" s="88"/>
      <c r="G13" s="89"/>
    </row>
    <row r="14" spans="2:7" ht="21.75" customHeight="1" x14ac:dyDescent="0.35">
      <c r="B14" s="78" t="s">
        <v>135</v>
      </c>
      <c r="C14" s="79"/>
      <c r="D14" s="80"/>
      <c r="E14" s="81"/>
      <c r="F14" s="82"/>
      <c r="G14" s="83"/>
    </row>
    <row r="15" spans="2:7" ht="21.75" customHeight="1" x14ac:dyDescent="0.35">
      <c r="B15" s="84" t="s">
        <v>136</v>
      </c>
      <c r="C15" s="85"/>
      <c r="D15" s="86"/>
      <c r="E15" s="87"/>
      <c r="F15" s="88"/>
      <c r="G15" s="89"/>
    </row>
    <row r="16" spans="2:7" ht="21.75" customHeight="1" x14ac:dyDescent="0.35">
      <c r="B16" s="78" t="s">
        <v>137</v>
      </c>
      <c r="C16" s="79"/>
      <c r="D16" s="80"/>
      <c r="E16" s="81"/>
      <c r="F16" s="82"/>
      <c r="G16" s="83"/>
    </row>
    <row r="17" spans="2:7" ht="21.75" customHeight="1" x14ac:dyDescent="0.35">
      <c r="B17" s="84" t="s">
        <v>138</v>
      </c>
      <c r="C17" s="85"/>
      <c r="D17" s="86"/>
      <c r="E17" s="87"/>
      <c r="F17" s="88"/>
      <c r="G17" s="89"/>
    </row>
    <row r="18" spans="2:7" ht="19.5" customHeight="1" x14ac:dyDescent="0.35">
      <c r="B18" s="208" t="s">
        <v>139</v>
      </c>
      <c r="C18" s="208"/>
      <c r="D18" s="208"/>
      <c r="E18" s="208"/>
      <c r="F18" s="208"/>
      <c r="G18" s="208"/>
    </row>
    <row r="19" spans="2:7" ht="36" customHeight="1" x14ac:dyDescent="0.35">
      <c r="B19" s="207"/>
      <c r="C19" s="207"/>
      <c r="D19" s="207"/>
      <c r="E19" s="207"/>
      <c r="F19" s="207"/>
      <c r="G19" s="207"/>
    </row>
    <row r="20" spans="2:7" ht="12" customHeight="1" x14ac:dyDescent="0.35"/>
    <row r="21" spans="2:7" ht="24" customHeight="1" x14ac:dyDescent="0.35">
      <c r="B21" s="197" t="s">
        <v>140</v>
      </c>
      <c r="C21" s="197"/>
      <c r="D21" s="197"/>
      <c r="E21" s="197"/>
      <c r="F21" s="197"/>
      <c r="G21" s="197"/>
    </row>
    <row r="22" spans="2:7" ht="30" customHeight="1" x14ac:dyDescent="0.35">
      <c r="B22" s="36" t="s">
        <v>121</v>
      </c>
      <c r="C22" s="205" t="s">
        <v>141</v>
      </c>
      <c r="D22" s="205"/>
      <c r="E22" s="205"/>
      <c r="F22" s="205"/>
      <c r="G22" s="205"/>
    </row>
    <row r="23" spans="2:7" ht="24" customHeight="1" x14ac:dyDescent="0.35">
      <c r="B23" s="90" t="s">
        <v>123</v>
      </c>
      <c r="C23" s="91"/>
      <c r="D23" s="90" t="s">
        <v>124</v>
      </c>
      <c r="E23" s="91"/>
      <c r="F23" s="90" t="s">
        <v>125</v>
      </c>
      <c r="G23" s="92" t="s">
        <v>126</v>
      </c>
    </row>
    <row r="24" spans="2:7" ht="19.5" customHeight="1" x14ac:dyDescent="0.35">
      <c r="B24" s="90" t="s">
        <v>127</v>
      </c>
      <c r="C24" s="209"/>
      <c r="D24" s="209"/>
      <c r="E24" s="209"/>
      <c r="F24" s="209"/>
      <c r="G24" s="209"/>
    </row>
    <row r="25" spans="2:7" ht="36" customHeight="1" x14ac:dyDescent="0.35">
      <c r="B25" s="210"/>
      <c r="C25" s="210"/>
      <c r="D25" s="210"/>
      <c r="E25" s="210"/>
      <c r="F25" s="210"/>
      <c r="G25" s="210"/>
    </row>
    <row r="26" spans="2:7" ht="19.5" customHeight="1" x14ac:dyDescent="0.35">
      <c r="B26" s="77" t="s">
        <v>128</v>
      </c>
      <c r="C26" s="77" t="s">
        <v>129</v>
      </c>
      <c r="E26" s="77" t="s">
        <v>130</v>
      </c>
      <c r="F26" s="77" t="s">
        <v>131</v>
      </c>
      <c r="G26" s="77" t="s">
        <v>132</v>
      </c>
    </row>
    <row r="27" spans="2:7" ht="21.75" customHeight="1" x14ac:dyDescent="0.35">
      <c r="B27" s="93" t="s">
        <v>133</v>
      </c>
      <c r="C27" s="94"/>
      <c r="D27" s="95"/>
      <c r="E27" s="96"/>
      <c r="F27" s="97"/>
      <c r="G27" s="98"/>
    </row>
    <row r="28" spans="2:7" ht="21.75" customHeight="1" x14ac:dyDescent="0.35">
      <c r="B28" s="99" t="s">
        <v>134</v>
      </c>
      <c r="C28" s="85"/>
      <c r="D28" s="86"/>
      <c r="E28" s="87"/>
      <c r="F28" s="88"/>
      <c r="G28" s="89"/>
    </row>
    <row r="29" spans="2:7" ht="21.75" customHeight="1" x14ac:dyDescent="0.35">
      <c r="B29" s="93" t="s">
        <v>135</v>
      </c>
      <c r="C29" s="94"/>
      <c r="D29" s="95"/>
      <c r="E29" s="96"/>
      <c r="F29" s="97"/>
      <c r="G29" s="98"/>
    </row>
    <row r="30" spans="2:7" ht="21.75" customHeight="1" x14ac:dyDescent="0.35">
      <c r="B30" s="99" t="s">
        <v>136</v>
      </c>
      <c r="C30" s="85"/>
      <c r="D30" s="86"/>
      <c r="E30" s="87"/>
      <c r="F30" s="88"/>
      <c r="G30" s="89"/>
    </row>
    <row r="31" spans="2:7" ht="21.75" customHeight="1" x14ac:dyDescent="0.35">
      <c r="B31" s="93" t="s">
        <v>137</v>
      </c>
      <c r="C31" s="94"/>
      <c r="D31" s="95"/>
      <c r="E31" s="96"/>
      <c r="F31" s="97"/>
      <c r="G31" s="98"/>
    </row>
    <row r="32" spans="2:7" ht="21.75" customHeight="1" x14ac:dyDescent="0.35">
      <c r="B32" s="99" t="s">
        <v>138</v>
      </c>
      <c r="C32" s="85"/>
      <c r="D32" s="86"/>
      <c r="E32" s="87"/>
      <c r="F32" s="88"/>
      <c r="G32" s="89"/>
    </row>
    <row r="33" spans="2:7" ht="19.5" customHeight="1" x14ac:dyDescent="0.35">
      <c r="B33" s="211" t="s">
        <v>139</v>
      </c>
      <c r="C33" s="211"/>
      <c r="D33" s="211"/>
      <c r="E33" s="211"/>
      <c r="F33" s="211"/>
      <c r="G33" s="211"/>
    </row>
    <row r="34" spans="2:7" ht="36" customHeight="1" x14ac:dyDescent="0.35">
      <c r="B34" s="210"/>
      <c r="C34" s="210"/>
      <c r="D34" s="210"/>
      <c r="E34" s="210"/>
      <c r="F34" s="210"/>
      <c r="G34" s="210"/>
    </row>
    <row r="35" spans="2:7" ht="12" customHeight="1" x14ac:dyDescent="0.35"/>
    <row r="36" spans="2:7" ht="24" customHeight="1" x14ac:dyDescent="0.35">
      <c r="B36" s="212" t="s">
        <v>142</v>
      </c>
      <c r="C36" s="212"/>
      <c r="D36" s="212"/>
      <c r="E36" s="212"/>
      <c r="F36" s="212"/>
      <c r="G36" s="212"/>
    </row>
    <row r="37" spans="2:7" ht="30" customHeight="1" x14ac:dyDescent="0.35">
      <c r="B37" s="100" t="s">
        <v>121</v>
      </c>
      <c r="C37" s="205" t="s">
        <v>143</v>
      </c>
      <c r="D37" s="205"/>
      <c r="E37" s="205"/>
      <c r="F37" s="205"/>
      <c r="G37" s="205"/>
    </row>
    <row r="38" spans="2:7" ht="24" customHeight="1" x14ac:dyDescent="0.35">
      <c r="B38" s="101" t="s">
        <v>123</v>
      </c>
      <c r="C38" s="102"/>
      <c r="D38" s="101" t="s">
        <v>124</v>
      </c>
      <c r="E38" s="102"/>
      <c r="F38" s="101" t="s">
        <v>125</v>
      </c>
      <c r="G38" s="103" t="s">
        <v>126</v>
      </c>
    </row>
    <row r="39" spans="2:7" ht="19.5" customHeight="1" x14ac:dyDescent="0.35">
      <c r="B39" s="101" t="s">
        <v>127</v>
      </c>
      <c r="C39" s="213"/>
      <c r="D39" s="213"/>
      <c r="E39" s="213"/>
      <c r="F39" s="213"/>
      <c r="G39" s="213"/>
    </row>
    <row r="40" spans="2:7" ht="36" customHeight="1" x14ac:dyDescent="0.35">
      <c r="B40" s="214"/>
      <c r="C40" s="214"/>
      <c r="D40" s="214"/>
      <c r="E40" s="214"/>
      <c r="F40" s="214"/>
      <c r="G40" s="214"/>
    </row>
    <row r="41" spans="2:7" ht="19.5" customHeight="1" x14ac:dyDescent="0.35">
      <c r="B41" s="77" t="s">
        <v>128</v>
      </c>
      <c r="C41" s="77" t="s">
        <v>129</v>
      </c>
      <c r="E41" s="77" t="s">
        <v>130</v>
      </c>
      <c r="F41" s="77" t="s">
        <v>131</v>
      </c>
      <c r="G41" s="77" t="s">
        <v>132</v>
      </c>
    </row>
    <row r="42" spans="2:7" ht="21.75" customHeight="1" x14ac:dyDescent="0.35">
      <c r="B42" s="104" t="s">
        <v>133</v>
      </c>
      <c r="C42" s="105"/>
      <c r="D42" s="106"/>
      <c r="E42" s="107"/>
      <c r="F42" s="108"/>
      <c r="G42" s="109"/>
    </row>
    <row r="43" spans="2:7" ht="21.75" customHeight="1" x14ac:dyDescent="0.35">
      <c r="B43" s="110" t="s">
        <v>134</v>
      </c>
      <c r="C43" s="85"/>
      <c r="D43" s="86"/>
      <c r="E43" s="87"/>
      <c r="F43" s="88"/>
      <c r="G43" s="89"/>
    </row>
    <row r="44" spans="2:7" ht="21.75" customHeight="1" x14ac:dyDescent="0.35">
      <c r="B44" s="104" t="s">
        <v>135</v>
      </c>
      <c r="C44" s="105"/>
      <c r="D44" s="106"/>
      <c r="E44" s="107"/>
      <c r="F44" s="108"/>
      <c r="G44" s="109"/>
    </row>
    <row r="45" spans="2:7" ht="21.75" customHeight="1" x14ac:dyDescent="0.35">
      <c r="B45" s="110" t="s">
        <v>136</v>
      </c>
      <c r="C45" s="85"/>
      <c r="D45" s="86"/>
      <c r="E45" s="87"/>
      <c r="F45" s="88"/>
      <c r="G45" s="89"/>
    </row>
    <row r="46" spans="2:7" ht="21.75" customHeight="1" x14ac:dyDescent="0.35">
      <c r="B46" s="104" t="s">
        <v>137</v>
      </c>
      <c r="C46" s="105"/>
      <c r="D46" s="106"/>
      <c r="E46" s="107"/>
      <c r="F46" s="108"/>
      <c r="G46" s="109"/>
    </row>
    <row r="47" spans="2:7" ht="21.75" customHeight="1" x14ac:dyDescent="0.35">
      <c r="B47" s="110" t="s">
        <v>138</v>
      </c>
      <c r="C47" s="85"/>
      <c r="D47" s="86"/>
      <c r="E47" s="87"/>
      <c r="F47" s="88"/>
      <c r="G47" s="89"/>
    </row>
    <row r="48" spans="2:7" ht="19.5" customHeight="1" x14ac:dyDescent="0.35">
      <c r="B48" s="215" t="s">
        <v>139</v>
      </c>
      <c r="C48" s="215"/>
      <c r="D48" s="215"/>
      <c r="E48" s="215"/>
      <c r="F48" s="215"/>
      <c r="G48" s="215"/>
    </row>
    <row r="49" spans="2:7" ht="36" customHeight="1" x14ac:dyDescent="0.35">
      <c r="B49" s="214"/>
      <c r="C49" s="214"/>
      <c r="D49" s="214"/>
      <c r="E49" s="214"/>
      <c r="F49" s="214"/>
      <c r="G49" s="214"/>
    </row>
    <row r="50" spans="2:7" ht="12" customHeight="1" x14ac:dyDescent="0.35"/>
  </sheetData>
  <mergeCells count="21">
    <mergeCell ref="B49:G49"/>
    <mergeCell ref="B36:G36"/>
    <mergeCell ref="C37:G37"/>
    <mergeCell ref="C39:G39"/>
    <mergeCell ref="B40:G40"/>
    <mergeCell ref="B48:G48"/>
    <mergeCell ref="C22:G22"/>
    <mergeCell ref="C24:G24"/>
    <mergeCell ref="B25:G25"/>
    <mergeCell ref="B33:G33"/>
    <mergeCell ref="B34:G34"/>
    <mergeCell ref="C9:G9"/>
    <mergeCell ref="B10:G10"/>
    <mergeCell ref="B18:G18"/>
    <mergeCell ref="B19:G19"/>
    <mergeCell ref="B21:G21"/>
    <mergeCell ref="B1:G1"/>
    <mergeCell ref="B2:G3"/>
    <mergeCell ref="B4:G4"/>
    <mergeCell ref="B6:G6"/>
    <mergeCell ref="C7:G7"/>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F53"/>
  <sheetViews>
    <sheetView showGridLines="0" zoomScaleNormal="100" workbookViewId="0"/>
  </sheetViews>
  <sheetFormatPr defaultColWidth="8.6328125" defaultRowHeight="14.5" x14ac:dyDescent="0.35"/>
  <cols>
    <col min="1" max="1" width="2" customWidth="1"/>
    <col min="2" max="2" width="14" customWidth="1"/>
    <col min="3" max="4" width="28" customWidth="1"/>
    <col min="5" max="5" width="26" customWidth="1"/>
    <col min="6" max="6" width="12" customWidth="1"/>
    <col min="7" max="7" width="2" customWidth="1"/>
  </cols>
  <sheetData>
    <row r="1" spans="2:6" ht="9.75" customHeight="1" x14ac:dyDescent="0.35">
      <c r="B1" s="14"/>
      <c r="C1" s="14"/>
      <c r="D1" s="14"/>
      <c r="E1" s="14"/>
      <c r="F1" s="14"/>
    </row>
    <row r="2" spans="2:6" ht="39.75" customHeight="1" x14ac:dyDescent="0.35">
      <c r="B2" s="216" t="s">
        <v>144</v>
      </c>
      <c r="C2" s="216"/>
      <c r="D2" s="216"/>
      <c r="E2" s="216"/>
      <c r="F2" s="216"/>
    </row>
    <row r="3" spans="2:6" ht="19.5" customHeight="1" x14ac:dyDescent="0.35">
      <c r="B3" s="216"/>
      <c r="C3" s="216"/>
      <c r="D3" s="216"/>
      <c r="E3" s="216"/>
      <c r="F3" s="216"/>
    </row>
    <row r="4" spans="2:6" ht="24" customHeight="1" x14ac:dyDescent="0.35">
      <c r="B4" s="217" t="s">
        <v>145</v>
      </c>
      <c r="C4" s="217"/>
      <c r="D4" s="217"/>
      <c r="E4" s="217"/>
      <c r="F4" s="217"/>
    </row>
    <row r="5" spans="2:6" ht="9.75" customHeight="1" x14ac:dyDescent="0.35"/>
    <row r="6" spans="2:6" ht="21.75" customHeight="1" x14ac:dyDescent="0.35">
      <c r="B6" s="111" t="s">
        <v>146</v>
      </c>
      <c r="C6" s="111" t="s">
        <v>147</v>
      </c>
      <c r="D6" s="111" t="s">
        <v>148</v>
      </c>
      <c r="E6" s="111" t="s">
        <v>149</v>
      </c>
      <c r="F6" s="111" t="s">
        <v>150</v>
      </c>
    </row>
    <row r="7" spans="2:6" ht="42" customHeight="1" x14ac:dyDescent="0.35">
      <c r="B7" s="112" t="s">
        <v>151</v>
      </c>
      <c r="C7" s="27"/>
      <c r="D7" s="27"/>
      <c r="E7" s="27"/>
      <c r="F7" s="113"/>
    </row>
    <row r="8" spans="2:6" ht="42" customHeight="1" x14ac:dyDescent="0.35">
      <c r="B8" s="114" t="s">
        <v>152</v>
      </c>
      <c r="C8" s="28"/>
      <c r="D8" s="28"/>
      <c r="E8" s="28"/>
      <c r="F8" s="115"/>
    </row>
    <row r="9" spans="2:6" ht="42" customHeight="1" x14ac:dyDescent="0.35">
      <c r="B9" s="112" t="s">
        <v>153</v>
      </c>
      <c r="C9" s="27"/>
      <c r="D9" s="27"/>
      <c r="E9" s="27"/>
      <c r="F9" s="113"/>
    </row>
    <row r="10" spans="2:6" ht="42" customHeight="1" x14ac:dyDescent="0.35">
      <c r="B10" s="114" t="s">
        <v>154</v>
      </c>
      <c r="C10" s="28"/>
      <c r="D10" s="28"/>
      <c r="E10" s="28"/>
      <c r="F10" s="115"/>
    </row>
    <row r="11" spans="2:6" ht="42" customHeight="1" x14ac:dyDescent="0.35">
      <c r="B11" s="112" t="s">
        <v>155</v>
      </c>
      <c r="C11" s="27"/>
      <c r="D11" s="27"/>
      <c r="E11" s="27"/>
      <c r="F11" s="113"/>
    </row>
    <row r="12" spans="2:6" ht="42" customHeight="1" x14ac:dyDescent="0.35">
      <c r="B12" s="114" t="s">
        <v>156</v>
      </c>
      <c r="C12" s="28"/>
      <c r="D12" s="28"/>
      <c r="E12" s="28"/>
      <c r="F12" s="115"/>
    </row>
    <row r="13" spans="2:6" ht="42" customHeight="1" x14ac:dyDescent="0.35">
      <c r="B13" s="112" t="s">
        <v>157</v>
      </c>
      <c r="C13" s="27"/>
      <c r="D13" s="27"/>
      <c r="E13" s="27"/>
      <c r="F13" s="113"/>
    </row>
    <row r="14" spans="2:6" ht="42" customHeight="1" x14ac:dyDescent="0.35">
      <c r="B14" s="114" t="s">
        <v>158</v>
      </c>
      <c r="C14" s="28"/>
      <c r="D14" s="28"/>
      <c r="E14" s="28"/>
      <c r="F14" s="115"/>
    </row>
    <row r="15" spans="2:6" ht="42" customHeight="1" x14ac:dyDescent="0.35">
      <c r="B15" s="112" t="s">
        <v>159</v>
      </c>
      <c r="C15" s="27"/>
      <c r="D15" s="27"/>
      <c r="E15" s="27"/>
      <c r="F15" s="113"/>
    </row>
    <row r="16" spans="2:6" ht="42" customHeight="1" x14ac:dyDescent="0.35">
      <c r="B16" s="114" t="s">
        <v>160</v>
      </c>
      <c r="C16" s="28"/>
      <c r="D16" s="28"/>
      <c r="E16" s="28"/>
      <c r="F16" s="115"/>
    </row>
    <row r="17" spans="2:6" ht="42" customHeight="1" x14ac:dyDescent="0.35">
      <c r="B17" s="112" t="s">
        <v>161</v>
      </c>
      <c r="C17" s="27"/>
      <c r="D17" s="27"/>
      <c r="E17" s="27"/>
      <c r="F17" s="113"/>
    </row>
    <row r="18" spans="2:6" ht="42" customHeight="1" x14ac:dyDescent="0.35">
      <c r="B18" s="114" t="s">
        <v>162</v>
      </c>
      <c r="C18" s="28"/>
      <c r="D18" s="28"/>
      <c r="E18" s="28"/>
      <c r="F18" s="115"/>
    </row>
    <row r="19" spans="2:6" ht="42" customHeight="1" x14ac:dyDescent="0.35">
      <c r="B19" s="112" t="s">
        <v>163</v>
      </c>
      <c r="C19" s="27"/>
      <c r="D19" s="27"/>
      <c r="E19" s="27"/>
      <c r="F19" s="113"/>
    </row>
    <row r="20" spans="2:6" ht="42" customHeight="1" x14ac:dyDescent="0.35">
      <c r="B20" s="114" t="s">
        <v>164</v>
      </c>
      <c r="C20" s="28"/>
      <c r="D20" s="28"/>
      <c r="E20" s="28"/>
      <c r="F20" s="115"/>
    </row>
    <row r="21" spans="2:6" ht="42" customHeight="1" x14ac:dyDescent="0.35">
      <c r="B21" s="112" t="s">
        <v>165</v>
      </c>
      <c r="C21" s="27"/>
      <c r="D21" s="27"/>
      <c r="E21" s="27"/>
      <c r="F21" s="113"/>
    </row>
    <row r="22" spans="2:6" ht="42" customHeight="1" x14ac:dyDescent="0.35">
      <c r="B22" s="114" t="s">
        <v>166</v>
      </c>
      <c r="C22" s="28"/>
      <c r="D22" s="28"/>
      <c r="E22" s="28"/>
      <c r="F22" s="115"/>
    </row>
    <row r="23" spans="2:6" ht="42" customHeight="1" x14ac:dyDescent="0.35">
      <c r="B23" s="112" t="s">
        <v>167</v>
      </c>
      <c r="C23" s="27"/>
      <c r="D23" s="27"/>
      <c r="E23" s="27"/>
      <c r="F23" s="113"/>
    </row>
    <row r="24" spans="2:6" ht="42" customHeight="1" x14ac:dyDescent="0.35">
      <c r="B24" s="114" t="s">
        <v>168</v>
      </c>
      <c r="C24" s="28"/>
      <c r="D24" s="28"/>
      <c r="E24" s="28"/>
      <c r="F24" s="115"/>
    </row>
    <row r="25" spans="2:6" ht="42" customHeight="1" x14ac:dyDescent="0.35">
      <c r="B25" s="112" t="s">
        <v>169</v>
      </c>
      <c r="C25" s="27"/>
      <c r="D25" s="27"/>
      <c r="E25" s="27"/>
      <c r="F25" s="113"/>
    </row>
    <row r="26" spans="2:6" ht="42" customHeight="1" x14ac:dyDescent="0.35">
      <c r="B26" s="114" t="s">
        <v>170</v>
      </c>
      <c r="C26" s="28"/>
      <c r="D26" s="28"/>
      <c r="E26" s="28"/>
      <c r="F26" s="115"/>
    </row>
    <row r="27" spans="2:6" ht="42" customHeight="1" x14ac:dyDescent="0.35">
      <c r="B27" s="112" t="s">
        <v>171</v>
      </c>
      <c r="C27" s="27"/>
      <c r="D27" s="27"/>
      <c r="E27" s="27"/>
      <c r="F27" s="113"/>
    </row>
    <row r="28" spans="2:6" ht="42" customHeight="1" x14ac:dyDescent="0.35">
      <c r="B28" s="114" t="s">
        <v>172</v>
      </c>
      <c r="C28" s="28"/>
      <c r="D28" s="28"/>
      <c r="E28" s="28"/>
      <c r="F28" s="115"/>
    </row>
    <row r="29" spans="2:6" ht="42" customHeight="1" x14ac:dyDescent="0.35">
      <c r="B29" s="112" t="s">
        <v>173</v>
      </c>
      <c r="C29" s="27"/>
      <c r="D29" s="27"/>
      <c r="E29" s="27"/>
      <c r="F29" s="113"/>
    </row>
    <row r="30" spans="2:6" ht="42" customHeight="1" x14ac:dyDescent="0.35">
      <c r="B30" s="114" t="s">
        <v>174</v>
      </c>
      <c r="C30" s="28"/>
      <c r="D30" s="28"/>
      <c r="E30" s="28"/>
      <c r="F30" s="115"/>
    </row>
    <row r="31" spans="2:6" ht="42" customHeight="1" x14ac:dyDescent="0.35">
      <c r="B31" s="112" t="s">
        <v>175</v>
      </c>
      <c r="C31" s="27"/>
      <c r="D31" s="27"/>
      <c r="E31" s="27"/>
      <c r="F31" s="113"/>
    </row>
    <row r="32" spans="2:6" ht="42" customHeight="1" x14ac:dyDescent="0.35">
      <c r="B32" s="114" t="s">
        <v>176</v>
      </c>
      <c r="C32" s="28"/>
      <c r="D32" s="28"/>
      <c r="E32" s="28"/>
      <c r="F32" s="115"/>
    </row>
    <row r="33" spans="2:6" ht="42" customHeight="1" x14ac:dyDescent="0.35">
      <c r="B33" s="112" t="s">
        <v>177</v>
      </c>
      <c r="C33" s="27"/>
      <c r="D33" s="27"/>
      <c r="E33" s="27"/>
      <c r="F33" s="113"/>
    </row>
    <row r="34" spans="2:6" ht="42" customHeight="1" x14ac:dyDescent="0.35">
      <c r="B34" s="114" t="s">
        <v>178</v>
      </c>
      <c r="C34" s="28"/>
      <c r="D34" s="28"/>
      <c r="E34" s="28"/>
      <c r="F34" s="115"/>
    </row>
    <row r="35" spans="2:6" ht="42" customHeight="1" x14ac:dyDescent="0.35">
      <c r="B35" s="112" t="s">
        <v>179</v>
      </c>
      <c r="C35" s="27"/>
      <c r="D35" s="27"/>
      <c r="E35" s="27"/>
      <c r="F35" s="113"/>
    </row>
    <row r="36" spans="2:6" ht="42" customHeight="1" x14ac:dyDescent="0.35">
      <c r="B36" s="114" t="s">
        <v>180</v>
      </c>
      <c r="C36" s="28"/>
      <c r="D36" s="28"/>
      <c r="E36" s="28"/>
      <c r="F36" s="115"/>
    </row>
    <row r="37" spans="2:6" ht="9.75" customHeight="1" x14ac:dyDescent="0.35"/>
    <row r="38" spans="2:6" ht="24" customHeight="1" x14ac:dyDescent="0.35">
      <c r="B38" s="218" t="s">
        <v>181</v>
      </c>
      <c r="C38" s="218"/>
      <c r="D38" s="218"/>
      <c r="E38" s="218"/>
      <c r="F38" s="116" t="str">
        <f>IFERROR(AVERAGE(F7:F36),"")</f>
        <v/>
      </c>
    </row>
    <row r="40" spans="2:6" ht="24" customHeight="1" x14ac:dyDescent="0.35">
      <c r="B40" s="6" t="s">
        <v>182</v>
      </c>
      <c r="C40" s="6"/>
      <c r="D40" s="6"/>
      <c r="E40" s="6"/>
      <c r="F40" s="6"/>
    </row>
    <row r="41" spans="2:6" ht="19.5" customHeight="1" x14ac:dyDescent="0.35">
      <c r="B41" s="219" t="s">
        <v>183</v>
      </c>
      <c r="C41" s="219"/>
      <c r="D41" s="219"/>
      <c r="E41" s="219"/>
      <c r="F41" s="219"/>
    </row>
    <row r="42" spans="2:6" ht="30" customHeight="1" x14ac:dyDescent="0.35">
      <c r="B42" s="214"/>
      <c r="C42" s="214"/>
      <c r="D42" s="214"/>
      <c r="E42" s="214"/>
      <c r="F42" s="214"/>
    </row>
    <row r="43" spans="2:6" ht="19.5" customHeight="1" x14ac:dyDescent="0.35">
      <c r="B43" s="195" t="s">
        <v>184</v>
      </c>
      <c r="C43" s="195"/>
      <c r="D43" s="195"/>
      <c r="E43" s="195"/>
      <c r="F43" s="195"/>
    </row>
    <row r="44" spans="2:6" ht="30" customHeight="1" x14ac:dyDescent="0.35">
      <c r="B44" s="220"/>
      <c r="C44" s="220"/>
      <c r="D44" s="220"/>
      <c r="E44" s="220"/>
      <c r="F44" s="220"/>
    </row>
    <row r="45" spans="2:6" ht="19.5" customHeight="1" x14ac:dyDescent="0.35">
      <c r="B45" s="219" t="s">
        <v>185</v>
      </c>
      <c r="C45" s="219"/>
      <c r="D45" s="219"/>
      <c r="E45" s="219"/>
      <c r="F45" s="219"/>
    </row>
    <row r="46" spans="2:6" ht="30" customHeight="1" x14ac:dyDescent="0.35">
      <c r="B46" s="214"/>
      <c r="C46" s="214"/>
      <c r="D46" s="214"/>
      <c r="E46" s="214"/>
      <c r="F46" s="214"/>
    </row>
    <row r="47" spans="2:6" ht="19.5" customHeight="1" x14ac:dyDescent="0.35">
      <c r="B47" s="195" t="s">
        <v>186</v>
      </c>
      <c r="C47" s="195"/>
      <c r="D47" s="195"/>
      <c r="E47" s="195"/>
      <c r="F47" s="195"/>
    </row>
    <row r="48" spans="2:6" ht="30" customHeight="1" x14ac:dyDescent="0.35">
      <c r="B48" s="220"/>
      <c r="C48" s="220"/>
      <c r="D48" s="220"/>
      <c r="E48" s="220"/>
      <c r="F48" s="220"/>
    </row>
    <row r="50" spans="2:6" ht="7.5" customHeight="1" x14ac:dyDescent="0.35"/>
    <row r="51" spans="2:6" ht="25.5" customHeight="1" x14ac:dyDescent="0.35">
      <c r="B51" s="221" t="s">
        <v>187</v>
      </c>
      <c r="C51" s="221"/>
      <c r="D51" s="221"/>
      <c r="E51" s="221"/>
      <c r="F51" s="221"/>
    </row>
    <row r="52" spans="2:6" ht="33.75" customHeight="1" x14ac:dyDescent="0.35">
      <c r="B52" s="117" t="s">
        <v>188</v>
      </c>
      <c r="C52" s="117" t="s">
        <v>189</v>
      </c>
      <c r="D52" s="117" t="s">
        <v>190</v>
      </c>
      <c r="E52" s="117" t="s">
        <v>191</v>
      </c>
      <c r="F52" s="117" t="s">
        <v>192</v>
      </c>
    </row>
    <row r="53" spans="2:6" ht="30" customHeight="1" x14ac:dyDescent="0.35">
      <c r="B53" s="118">
        <f>IFERROR(AVERAGEIF(F4:F33,"&gt;0"),0)</f>
        <v>0</v>
      </c>
      <c r="C53" s="119">
        <f>COUNTA(B4:B33)</f>
        <v>29</v>
      </c>
      <c r="D53" s="119">
        <f>COUNTIF(F4:F33,"&gt;=4")</f>
        <v>0</v>
      </c>
      <c r="E53" s="119">
        <f>COUNTIF(F4:F33,"&lt;=2")</f>
        <v>0</v>
      </c>
      <c r="F53" s="119">
        <f>COUNTA(C4:C33)</f>
        <v>1</v>
      </c>
    </row>
  </sheetData>
  <mergeCells count="14">
    <mergeCell ref="B46:F46"/>
    <mergeCell ref="B47:F47"/>
    <mergeCell ref="B48:F48"/>
    <mergeCell ref="B51:F51"/>
    <mergeCell ref="B41:F41"/>
    <mergeCell ref="B42:F42"/>
    <mergeCell ref="B43:F43"/>
    <mergeCell ref="B44:F44"/>
    <mergeCell ref="B45:F45"/>
    <mergeCell ref="B1:F1"/>
    <mergeCell ref="B2:F3"/>
    <mergeCell ref="B4:F4"/>
    <mergeCell ref="B38:E38"/>
    <mergeCell ref="B40:F40"/>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J38"/>
  <sheetViews>
    <sheetView showGridLines="0" zoomScaleNormal="100" workbookViewId="0">
      <pane xSplit="2" ySplit="8" topLeftCell="C9" activePane="bottomRight" state="frozen"/>
      <selection pane="topRight" activeCell="C1" sqref="C1"/>
      <selection pane="bottomLeft" activeCell="A9" sqref="A9"/>
      <selection pane="bottomRight"/>
    </sheetView>
  </sheetViews>
  <sheetFormatPr defaultColWidth="8.6328125" defaultRowHeight="14.5" x14ac:dyDescent="0.35"/>
  <cols>
    <col min="1" max="1" width="3" customWidth="1"/>
    <col min="2" max="2" width="28" customWidth="1"/>
    <col min="3" max="3" width="16" customWidth="1"/>
    <col min="4" max="4" width="14" customWidth="1"/>
    <col min="5" max="5" width="16" customWidth="1"/>
    <col min="6" max="8" width="18" customWidth="1"/>
    <col min="9" max="10" width="14" customWidth="1"/>
  </cols>
  <sheetData>
    <row r="1" spans="2:10" ht="37.5" customHeight="1" x14ac:dyDescent="0.35">
      <c r="B1" s="222" t="s">
        <v>193</v>
      </c>
      <c r="C1" s="222"/>
      <c r="D1" s="222"/>
      <c r="E1" s="222"/>
      <c r="F1" s="222"/>
      <c r="G1" s="222"/>
      <c r="H1" s="222"/>
      <c r="I1" s="222"/>
      <c r="J1" s="222"/>
    </row>
    <row r="2" spans="2:10" ht="18" customHeight="1" x14ac:dyDescent="0.35">
      <c r="B2" s="223" t="s">
        <v>1</v>
      </c>
      <c r="C2" s="223"/>
      <c r="D2" s="223"/>
      <c r="E2" s="223"/>
      <c r="F2" s="223"/>
      <c r="G2" s="223"/>
      <c r="H2" s="223"/>
      <c r="I2" s="223"/>
      <c r="J2" s="223"/>
    </row>
    <row r="3" spans="2:10" ht="48" customHeight="1" x14ac:dyDescent="0.35">
      <c r="B3" s="224" t="s">
        <v>194</v>
      </c>
      <c r="C3" s="224"/>
      <c r="D3" s="224"/>
      <c r="E3" s="224"/>
      <c r="F3" s="224"/>
      <c r="G3" s="224"/>
      <c r="H3" s="224"/>
      <c r="I3" s="224"/>
      <c r="J3" s="224"/>
    </row>
    <row r="4" spans="2:10" ht="7.5" customHeight="1" x14ac:dyDescent="0.35"/>
    <row r="5" spans="2:10" ht="25.5" customHeight="1" x14ac:dyDescent="0.35">
      <c r="B5" s="225" t="s">
        <v>195</v>
      </c>
      <c r="C5" s="225"/>
      <c r="D5" s="225"/>
      <c r="E5" s="225"/>
      <c r="F5" s="225"/>
      <c r="G5" s="226" t="s">
        <v>196</v>
      </c>
      <c r="H5" s="226"/>
      <c r="I5" s="120" t="s">
        <v>197</v>
      </c>
    </row>
    <row r="6" spans="2:10" ht="24" customHeight="1" x14ac:dyDescent="0.35">
      <c r="B6" s="225" t="s">
        <v>198</v>
      </c>
      <c r="C6" s="225"/>
      <c r="D6" s="225"/>
      <c r="E6" s="225"/>
      <c r="F6" s="225"/>
      <c r="G6" s="227">
        <v>0</v>
      </c>
      <c r="H6" s="227"/>
    </row>
    <row r="7" spans="2:10" ht="6" customHeight="1" x14ac:dyDescent="0.35"/>
    <row r="8" spans="2:10" ht="42" customHeight="1" x14ac:dyDescent="0.35">
      <c r="B8" s="121" t="s">
        <v>199</v>
      </c>
      <c r="C8" s="121" t="s">
        <v>200</v>
      </c>
      <c r="D8" s="121" t="s">
        <v>201</v>
      </c>
      <c r="E8" s="121" t="s">
        <v>202</v>
      </c>
      <c r="F8" s="121" t="s">
        <v>203</v>
      </c>
      <c r="G8" s="121" t="s">
        <v>204</v>
      </c>
      <c r="H8" s="121" t="s">
        <v>205</v>
      </c>
      <c r="I8" s="121" t="s">
        <v>206</v>
      </c>
      <c r="J8" s="121" t="s">
        <v>207</v>
      </c>
    </row>
    <row r="9" spans="2:10" ht="21.75" customHeight="1" x14ac:dyDescent="0.35">
      <c r="B9" s="122" t="s">
        <v>208</v>
      </c>
      <c r="C9" s="123"/>
      <c r="D9" s="124"/>
      <c r="E9" s="125"/>
      <c r="F9" s="126" t="str">
        <f t="shared" ref="F9:F18" si="0">IF(OR(NOT(ISNUMBER(C9)),C9=0,NOT(ISNUMBER(E9)),E9=0),"-",IF(OR(NOT(ISNUMBER(D9)),D9=0),IFERROR(CEILING(C9/E9,1),"-"),IFERROR(CEILING(-LN(1-(C9*(D9/12))/E9)/LN(1+(D9/12)),1),"-")))</f>
        <v>-</v>
      </c>
      <c r="G9" s="127" t="str">
        <f t="shared" ref="G9:G18" si="1">IF(OR(NOT(ISNUMBER(F9)),F9="-"),"-",IFERROR(MAX(0,E9*F9-C9),"-"))</f>
        <v>-</v>
      </c>
      <c r="H9" s="126" t="str">
        <f t="shared" ref="H9:H18" ca="1" si="2">IF(OR(NOT(ISNUMBER(F9)),F9="-"),"-",TEXT(EDATE(TODAY(),F9),"mmm YYYY"))</f>
        <v>-</v>
      </c>
      <c r="I9" s="128" t="str">
        <f>IF(OR(NOT(ISNUMBER(C9)),C9=0),"-",SUMPRODUCT((C9:C18&gt;0)*ISNUMBER(C9:C18)*(C9:C18&lt;C9))+1)</f>
        <v>-</v>
      </c>
      <c r="J9" s="129" t="str">
        <f>IF(OR(NOT(ISNUMBER(D9)),D9=0),"-",SUMPRODUCT((D9:D18&gt;0)*ISNUMBER(D9:D18)*(D9:D18&gt;D9))+1)</f>
        <v>-</v>
      </c>
    </row>
    <row r="10" spans="2:10" ht="21.75" customHeight="1" x14ac:dyDescent="0.35">
      <c r="B10" s="130" t="s">
        <v>209</v>
      </c>
      <c r="C10" s="131"/>
      <c r="D10" s="132"/>
      <c r="E10" s="133"/>
      <c r="F10" s="134" t="str">
        <f t="shared" si="0"/>
        <v>-</v>
      </c>
      <c r="G10" s="135" t="str">
        <f t="shared" si="1"/>
        <v>-</v>
      </c>
      <c r="H10" s="134" t="str">
        <f t="shared" ca="1" si="2"/>
        <v>-</v>
      </c>
      <c r="I10" s="136" t="str">
        <f>IF(OR(NOT(ISNUMBER(C10)),C10=0),"-",SUMPRODUCT((C9:C18&gt;0)*ISNUMBER(C9:C18)*(C9:C18&lt;C10))+1)</f>
        <v>-</v>
      </c>
      <c r="J10" s="137" t="str">
        <f>IF(OR(NOT(ISNUMBER(D10)),D10=0),"-",SUMPRODUCT((D9:D18&gt;0)*ISNUMBER(D9:D18)*(D9:D18&gt;D10))+1)</f>
        <v>-</v>
      </c>
    </row>
    <row r="11" spans="2:10" ht="21.75" customHeight="1" x14ac:dyDescent="0.35">
      <c r="B11" s="122" t="s">
        <v>210</v>
      </c>
      <c r="C11" s="123"/>
      <c r="D11" s="124"/>
      <c r="E11" s="125"/>
      <c r="F11" s="126" t="str">
        <f t="shared" si="0"/>
        <v>-</v>
      </c>
      <c r="G11" s="127" t="str">
        <f t="shared" si="1"/>
        <v>-</v>
      </c>
      <c r="H11" s="126" t="str">
        <f t="shared" ca="1" si="2"/>
        <v>-</v>
      </c>
      <c r="I11" s="128" t="str">
        <f>IF(OR(NOT(ISNUMBER(C11)),C11=0),"-",SUMPRODUCT((C9:C18&gt;0)*ISNUMBER(C9:C18)*(C9:C18&lt;C11))+1)</f>
        <v>-</v>
      </c>
      <c r="J11" s="129" t="str">
        <f>IF(OR(NOT(ISNUMBER(D11)),D11=0),"-",SUMPRODUCT((D9:D18&gt;0)*ISNUMBER(D9:D18)*(D9:D18&gt;D11))+1)</f>
        <v>-</v>
      </c>
    </row>
    <row r="12" spans="2:10" ht="21.75" customHeight="1" x14ac:dyDescent="0.35">
      <c r="B12" s="130" t="s">
        <v>211</v>
      </c>
      <c r="C12" s="131"/>
      <c r="D12" s="132"/>
      <c r="E12" s="133"/>
      <c r="F12" s="134" t="str">
        <f t="shared" si="0"/>
        <v>-</v>
      </c>
      <c r="G12" s="135" t="str">
        <f t="shared" si="1"/>
        <v>-</v>
      </c>
      <c r="H12" s="134" t="str">
        <f t="shared" ca="1" si="2"/>
        <v>-</v>
      </c>
      <c r="I12" s="136" t="str">
        <f>IF(OR(NOT(ISNUMBER(C12)),C12=0),"-",SUMPRODUCT((C9:C18&gt;0)*ISNUMBER(C9:C18)*(C9:C18&lt;C12))+1)</f>
        <v>-</v>
      </c>
      <c r="J12" s="137" t="str">
        <f>IF(OR(NOT(ISNUMBER(D12)),D12=0),"-",SUMPRODUCT((D9:D18&gt;0)*ISNUMBER(D9:D18)*(D9:D18&gt;D12))+1)</f>
        <v>-</v>
      </c>
    </row>
    <row r="13" spans="2:10" ht="21.75" customHeight="1" x14ac:dyDescent="0.35">
      <c r="B13" s="122" t="s">
        <v>212</v>
      </c>
      <c r="C13" s="123"/>
      <c r="D13" s="124"/>
      <c r="E13" s="125"/>
      <c r="F13" s="126" t="str">
        <f t="shared" si="0"/>
        <v>-</v>
      </c>
      <c r="G13" s="127" t="str">
        <f t="shared" si="1"/>
        <v>-</v>
      </c>
      <c r="H13" s="126" t="str">
        <f t="shared" ca="1" si="2"/>
        <v>-</v>
      </c>
      <c r="I13" s="128" t="str">
        <f>IF(OR(NOT(ISNUMBER(C13)),C13=0),"-",SUMPRODUCT((C9:C18&gt;0)*ISNUMBER(C9:C18)*(C9:C18&lt;C13))+1)</f>
        <v>-</v>
      </c>
      <c r="J13" s="129" t="str">
        <f>IF(OR(NOT(ISNUMBER(D13)),D13=0),"-",SUMPRODUCT((D9:D18&gt;0)*ISNUMBER(D9:D18)*(D9:D18&gt;D13))+1)</f>
        <v>-</v>
      </c>
    </row>
    <row r="14" spans="2:10" ht="21.75" customHeight="1" x14ac:dyDescent="0.35">
      <c r="B14" s="138"/>
      <c r="C14" s="131"/>
      <c r="D14" s="132"/>
      <c r="E14" s="133"/>
      <c r="F14" s="134" t="str">
        <f t="shared" si="0"/>
        <v>-</v>
      </c>
      <c r="G14" s="135" t="str">
        <f t="shared" si="1"/>
        <v>-</v>
      </c>
      <c r="H14" s="134" t="str">
        <f t="shared" ca="1" si="2"/>
        <v>-</v>
      </c>
      <c r="I14" s="136" t="str">
        <f>IF(OR(NOT(ISNUMBER(C14)),C14=0),"-",SUMPRODUCT((C9:C18&gt;0)*ISNUMBER(C9:C18)*(C9:C18&lt;C14))+1)</f>
        <v>-</v>
      </c>
      <c r="J14" s="137" t="str">
        <f>IF(OR(NOT(ISNUMBER(D14)),D14=0),"-",SUMPRODUCT((D9:D18&gt;0)*ISNUMBER(D9:D18)*(D9:D18&gt;D14))+1)</f>
        <v>-</v>
      </c>
    </row>
    <row r="15" spans="2:10" ht="21.75" customHeight="1" x14ac:dyDescent="0.35">
      <c r="B15" s="139"/>
      <c r="C15" s="123"/>
      <c r="D15" s="124"/>
      <c r="E15" s="125"/>
      <c r="F15" s="126" t="str">
        <f t="shared" si="0"/>
        <v>-</v>
      </c>
      <c r="G15" s="127" t="str">
        <f t="shared" si="1"/>
        <v>-</v>
      </c>
      <c r="H15" s="126" t="str">
        <f t="shared" ca="1" si="2"/>
        <v>-</v>
      </c>
      <c r="I15" s="128" t="str">
        <f>IF(OR(NOT(ISNUMBER(C15)),C15=0),"-",SUMPRODUCT((C9:C18&gt;0)*ISNUMBER(C9:C18)*(C9:C18&lt;C15))+1)</f>
        <v>-</v>
      </c>
      <c r="J15" s="129" t="str">
        <f>IF(OR(NOT(ISNUMBER(D15)),D15=0),"-",SUMPRODUCT((D9:D18&gt;0)*ISNUMBER(D9:D18)*(D9:D18&gt;D15))+1)</f>
        <v>-</v>
      </c>
    </row>
    <row r="16" spans="2:10" ht="21.75" customHeight="1" x14ac:dyDescent="0.35">
      <c r="B16" s="138"/>
      <c r="C16" s="131"/>
      <c r="D16" s="132"/>
      <c r="E16" s="133"/>
      <c r="F16" s="134" t="str">
        <f t="shared" si="0"/>
        <v>-</v>
      </c>
      <c r="G16" s="135" t="str">
        <f t="shared" si="1"/>
        <v>-</v>
      </c>
      <c r="H16" s="134" t="str">
        <f t="shared" ca="1" si="2"/>
        <v>-</v>
      </c>
      <c r="I16" s="136" t="str">
        <f>IF(OR(NOT(ISNUMBER(C16)),C16=0),"-",SUMPRODUCT((C9:C18&gt;0)*ISNUMBER(C9:C18)*(C9:C18&lt;C16))+1)</f>
        <v>-</v>
      </c>
      <c r="J16" s="137" t="str">
        <f>IF(OR(NOT(ISNUMBER(D16)),D16=0),"-",SUMPRODUCT((D9:D18&gt;0)*ISNUMBER(D9:D18)*(D9:D18&gt;D16))+1)</f>
        <v>-</v>
      </c>
    </row>
    <row r="17" spans="2:10" ht="21.75" customHeight="1" x14ac:dyDescent="0.35">
      <c r="B17" s="139"/>
      <c r="C17" s="123"/>
      <c r="D17" s="124"/>
      <c r="E17" s="125"/>
      <c r="F17" s="126" t="str">
        <f t="shared" si="0"/>
        <v>-</v>
      </c>
      <c r="G17" s="127" t="str">
        <f t="shared" si="1"/>
        <v>-</v>
      </c>
      <c r="H17" s="126" t="str">
        <f t="shared" ca="1" si="2"/>
        <v>-</v>
      </c>
      <c r="I17" s="128" t="str">
        <f>IF(OR(NOT(ISNUMBER(C17)),C17=0),"-",SUMPRODUCT((C9:C18&gt;0)*ISNUMBER(C9:C18)*(C9:C18&lt;C17))+1)</f>
        <v>-</v>
      </c>
      <c r="J17" s="129" t="str">
        <f>IF(OR(NOT(ISNUMBER(D17)),D17=0),"-",SUMPRODUCT((D9:D18&gt;0)*ISNUMBER(D9:D18)*(D9:D18&gt;D17))+1)</f>
        <v>-</v>
      </c>
    </row>
    <row r="18" spans="2:10" ht="21.75" customHeight="1" x14ac:dyDescent="0.35">
      <c r="B18" s="138"/>
      <c r="C18" s="131"/>
      <c r="D18" s="132"/>
      <c r="E18" s="133"/>
      <c r="F18" s="134" t="str">
        <f t="shared" si="0"/>
        <v>-</v>
      </c>
      <c r="G18" s="135" t="str">
        <f t="shared" si="1"/>
        <v>-</v>
      </c>
      <c r="H18" s="134" t="str">
        <f t="shared" ca="1" si="2"/>
        <v>-</v>
      </c>
      <c r="I18" s="136" t="str">
        <f>IF(OR(NOT(ISNUMBER(C18)),C18=0),"-",SUMPRODUCT((C9:C18&gt;0)*ISNUMBER(C9:C18)*(C9:C18&lt;C18))+1)</f>
        <v>-</v>
      </c>
      <c r="J18" s="137" t="str">
        <f>IF(OR(NOT(ISNUMBER(D18)),D18=0),"-",SUMPRODUCT((D9:D18&gt;0)*ISNUMBER(D9:D18)*(D9:D18&gt;D18))+1)</f>
        <v>-</v>
      </c>
    </row>
    <row r="19" spans="2:10" ht="25.5" customHeight="1" x14ac:dyDescent="0.35">
      <c r="B19" s="140" t="s">
        <v>213</v>
      </c>
      <c r="C19" s="141">
        <f>SUMPRODUCT((ISNUMBER(C9:C18))*(C9:C18&gt;0)*C9:C18)</f>
        <v>0</v>
      </c>
      <c r="D19" s="142"/>
      <c r="E19" s="141">
        <f>SUMPRODUCT((ISNUMBER(E9:E18))*(E9:E18&gt;0)*E9:E18)</f>
        <v>0</v>
      </c>
      <c r="F19" s="142"/>
      <c r="G19" s="142"/>
      <c r="H19" s="142"/>
      <c r="I19" s="142"/>
      <c r="J19" s="142"/>
    </row>
    <row r="20" spans="2:10" ht="7.5" customHeight="1" x14ac:dyDescent="0.35"/>
    <row r="21" spans="2:10" ht="25.5" customHeight="1" x14ac:dyDescent="0.35">
      <c r="B21" s="228" t="s">
        <v>214</v>
      </c>
      <c r="C21" s="228"/>
      <c r="D21" s="228"/>
      <c r="E21" s="228"/>
      <c r="F21" s="228"/>
      <c r="G21" s="228"/>
      <c r="H21" s="228"/>
      <c r="I21" s="228"/>
      <c r="J21" s="228"/>
    </row>
    <row r="22" spans="2:10" ht="21.75" customHeight="1" x14ac:dyDescent="0.35">
      <c r="B22" s="229" t="s">
        <v>215</v>
      </c>
      <c r="C22" s="229"/>
      <c r="D22" s="229" t="s">
        <v>216</v>
      </c>
      <c r="E22" s="229"/>
      <c r="F22" s="143" t="s">
        <v>217</v>
      </c>
      <c r="G22" s="229" t="s">
        <v>218</v>
      </c>
      <c r="H22" s="229"/>
      <c r="I22" s="229" t="s">
        <v>219</v>
      </c>
      <c r="J22" s="229"/>
    </row>
    <row r="23" spans="2:10" ht="31.5" customHeight="1" x14ac:dyDescent="0.35">
      <c r="B23" s="230" t="str">
        <f>IFERROR(IF(UPPER(G5)="AVALANCHE",INDEX(B9:B18,MATCH(1,J9:J18,0)),INDEX(B9:B18,MATCH(1,I9:I18,0))),"— Enter debts above —")</f>
        <v>— Enter debts above —</v>
      </c>
      <c r="C23" s="230"/>
      <c r="D23" s="231" t="str">
        <f>IFERROR(IF(UPPER(G5)="AVALANCHE",INDEX(C9:C18,MATCH(1,J9:J18,0)),INDEX(C9:C18,MATCH(1,I9:I18,0))),"")</f>
        <v/>
      </c>
      <c r="E23" s="231"/>
      <c r="F23" s="144" t="str">
        <f>IFERROR(IF(UPPER(G5)="AVALANCHE",INDEX(D9:D18,MATCH(1,J9:J18,0)),INDEX(D9:D18,MATCH(1,I9:I18,0))),"")</f>
        <v/>
      </c>
      <c r="G23" s="232" t="str">
        <f>IFERROR(IF(UPPER(G5)="AVALANCHE",INDEX(E9:E18,MATCH(1,J9:J18,0))+G6,INDEX(E9:E18,MATCH(1,I9:I18,0))+G6),"")</f>
        <v/>
      </c>
      <c r="H23" s="232"/>
      <c r="I23" s="233" t="str">
        <f>IFERROR(IF(UPPER(G5)="AVALANCHE",INDEX(H9:H18,MATCH(1,J9:J18,0)),INDEX(H9:H18,MATCH(1,I9:I18,0))),"")</f>
        <v/>
      </c>
      <c r="J23" s="233"/>
    </row>
    <row r="24" spans="2:10" ht="7.5" customHeight="1" x14ac:dyDescent="0.35"/>
    <row r="25" spans="2:10" ht="25.5" customHeight="1" x14ac:dyDescent="0.35">
      <c r="B25" s="221" t="s">
        <v>220</v>
      </c>
      <c r="C25" s="221"/>
      <c r="D25" s="221"/>
      <c r="E25" s="221"/>
      <c r="F25" s="221"/>
      <c r="G25" s="221"/>
      <c r="H25" s="221"/>
      <c r="I25" s="221"/>
      <c r="J25" s="221"/>
    </row>
    <row r="26" spans="2:10" ht="19.5" customHeight="1" x14ac:dyDescent="0.35">
      <c r="B26" s="117" t="s">
        <v>221</v>
      </c>
      <c r="D26" s="117" t="s">
        <v>222</v>
      </c>
      <c r="F26" s="117" t="s">
        <v>223</v>
      </c>
      <c r="H26" s="117" t="s">
        <v>224</v>
      </c>
    </row>
    <row r="27" spans="2:10" ht="30" customHeight="1" x14ac:dyDescent="0.35">
      <c r="B27" s="145">
        <f>SUMPRODUCT((ISNUMBER(C9:C18))*(C9:C18&gt;0)*C9:C18)</f>
        <v>0</v>
      </c>
      <c r="D27" s="145">
        <f>SUMPRODUCT((ISNUMBER(E9:E18))*(E9:E18&gt;0)*E9:E18)</f>
        <v>0</v>
      </c>
      <c r="F27" s="146">
        <f>IFERROR(AVERAGEIF(D9:D18,"&gt;0"),0)</f>
        <v>0</v>
      </c>
      <c r="H27" s="147">
        <f>SUMPRODUCT((ISNUMBER(C9:C18))*(C9:C18&gt;0))</f>
        <v>0</v>
      </c>
    </row>
    <row r="28" spans="2:10" ht="7.5" customHeight="1" x14ac:dyDescent="0.35"/>
    <row r="29" spans="2:10" ht="25.5" customHeight="1" x14ac:dyDescent="0.35">
      <c r="B29" s="234" t="s">
        <v>225</v>
      </c>
      <c r="C29" s="234"/>
      <c r="D29" s="234"/>
      <c r="E29" s="234"/>
      <c r="F29" s="234"/>
      <c r="G29" s="234"/>
      <c r="H29" s="234"/>
      <c r="I29" s="234"/>
      <c r="J29" s="234"/>
    </row>
    <row r="31" spans="2:10" ht="27.75" customHeight="1" x14ac:dyDescent="0.35">
      <c r="B31" s="235" t="s">
        <v>226</v>
      </c>
      <c r="C31" s="235"/>
      <c r="D31" s="235"/>
      <c r="E31" s="235"/>
      <c r="F31" s="235"/>
      <c r="G31" s="235"/>
      <c r="H31" s="235"/>
      <c r="I31" s="235"/>
      <c r="J31" s="235"/>
    </row>
    <row r="32" spans="2:10" ht="21.75" customHeight="1" x14ac:dyDescent="0.35">
      <c r="B32" s="148"/>
      <c r="C32" s="148" t="s">
        <v>227</v>
      </c>
      <c r="D32" s="149" t="s">
        <v>228</v>
      </c>
      <c r="E32" s="149"/>
      <c r="F32" s="149"/>
      <c r="G32" s="150" t="s">
        <v>229</v>
      </c>
      <c r="H32" s="150"/>
      <c r="I32" s="150"/>
      <c r="J32" s="150"/>
    </row>
    <row r="33" spans="2:10" ht="21.75" customHeight="1" x14ac:dyDescent="0.35">
      <c r="B33" s="151"/>
      <c r="C33" s="152" t="s">
        <v>230</v>
      </c>
      <c r="D33" s="236">
        <f>IFERROR(SUMPRODUCT((ISNUMBER(C9:C18))*(C9:C18&gt;0)*IF(ISNUMBER(G9:G18),G9:G18,0)),"Enter debts above")</f>
        <v>0</v>
      </c>
      <c r="E33" s="236"/>
      <c r="F33" s="236"/>
      <c r="G33" s="237">
        <f>IFERROR(SUMPRODUCT((ISNUMBER(C9:C18))*(C9:C18&gt;0)*IF(ISNUMBER(G9:G18),G9:G18,0)),"Enter debts above")</f>
        <v>0</v>
      </c>
      <c r="H33" s="237"/>
      <c r="I33" s="237"/>
      <c r="J33" s="237"/>
    </row>
    <row r="34" spans="2:10" ht="21.75" customHeight="1" x14ac:dyDescent="0.35">
      <c r="B34" s="151"/>
      <c r="C34" s="152" t="s">
        <v>231</v>
      </c>
      <c r="D34" s="238">
        <f>IFERROR(MAX(IF(ISNUMBER(F9:F18),F9:F18,0)),"—")</f>
        <v>0</v>
      </c>
      <c r="E34" s="238"/>
      <c r="F34" s="238"/>
      <c r="G34" s="239">
        <f>IFERROR(MAX(IF(ISNUMBER(F9:F18),F9:F18,0)),"—")</f>
        <v>0</v>
      </c>
      <c r="H34" s="239"/>
      <c r="I34" s="239"/>
      <c r="J34" s="239"/>
    </row>
    <row r="35" spans="2:10" ht="21.75" customHeight="1" x14ac:dyDescent="0.35">
      <c r="B35" s="151"/>
      <c r="C35" s="152" t="s">
        <v>232</v>
      </c>
      <c r="D35" s="240" t="str">
        <f ca="1">IFERROR(TEXT(EDATE(TODAY(),MAX(IF(ISNUMBER(F9:F18),F9:F18,0))),"mmmm YYYY"),"—")</f>
        <v>June 2026</v>
      </c>
      <c r="E35" s="240"/>
      <c r="F35" s="240"/>
      <c r="G35" s="241" t="str">
        <f ca="1">IFERROR(TEXT(EDATE(TODAY(),MAX(IF(ISNUMBER(F9:F18),F9:F18,0))),"mmmm YYYY"),"—")</f>
        <v>June 2026</v>
      </c>
      <c r="H35" s="241"/>
      <c r="I35" s="241"/>
      <c r="J35" s="241"/>
    </row>
    <row r="36" spans="2:10" ht="21.75" customHeight="1" x14ac:dyDescent="0.35">
      <c r="B36" s="151"/>
      <c r="C36" s="152" t="s">
        <v>233</v>
      </c>
      <c r="D36" s="240" t="s">
        <v>234</v>
      </c>
      <c r="E36" s="240"/>
      <c r="F36" s="240"/>
      <c r="G36" s="241" t="s">
        <v>235</v>
      </c>
      <c r="H36" s="241"/>
      <c r="I36" s="241"/>
      <c r="J36" s="241"/>
    </row>
    <row r="37" spans="2:10" ht="27.75" customHeight="1" x14ac:dyDescent="0.35">
      <c r="B37" s="242" t="s">
        <v>236</v>
      </c>
      <c r="C37" s="242"/>
      <c r="D37" s="243">
        <f>IFERROR(SUMPRODUCT((ISNUMBER(C9:C18))*(C9:C18&gt;0)*IF(ISNUMBER(G9:G18),G9:G18,0))-SUMPRODUCT((ISNUMBER(C9:C18))*(C9:C18&gt;0)*IF(ISNUMBER(G9:G18),G9:G18,0)),"Enter debts above")</f>
        <v>0</v>
      </c>
      <c r="E37" s="243"/>
      <c r="F37" s="243"/>
      <c r="G37" s="243"/>
      <c r="H37" s="243"/>
      <c r="I37" s="243"/>
      <c r="J37" s="243"/>
    </row>
    <row r="38" spans="2:10" ht="19.5" customHeight="1" x14ac:dyDescent="0.35">
      <c r="B38" s="244" t="s">
        <v>237</v>
      </c>
      <c r="C38" s="244"/>
      <c r="D38" s="244"/>
      <c r="E38" s="244"/>
      <c r="F38" s="244"/>
      <c r="G38" s="244"/>
      <c r="H38" s="244"/>
      <c r="I38" s="244"/>
      <c r="J38" s="244"/>
    </row>
  </sheetData>
  <mergeCells count="30">
    <mergeCell ref="B38:J38"/>
    <mergeCell ref="D35:F35"/>
    <mergeCell ref="G35:J35"/>
    <mergeCell ref="D36:F36"/>
    <mergeCell ref="G36:J36"/>
    <mergeCell ref="B37:C37"/>
    <mergeCell ref="D37:J37"/>
    <mergeCell ref="B29:J29"/>
    <mergeCell ref="B31:J31"/>
    <mergeCell ref="D33:F33"/>
    <mergeCell ref="G33:J33"/>
    <mergeCell ref="D34:F34"/>
    <mergeCell ref="G34:J34"/>
    <mergeCell ref="B23:C23"/>
    <mergeCell ref="D23:E23"/>
    <mergeCell ref="G23:H23"/>
    <mergeCell ref="I23:J23"/>
    <mergeCell ref="B25:J25"/>
    <mergeCell ref="B6:F6"/>
    <mergeCell ref="G6:H6"/>
    <mergeCell ref="B21:J21"/>
    <mergeCell ref="B22:C22"/>
    <mergeCell ref="D22:E22"/>
    <mergeCell ref="G22:H22"/>
    <mergeCell ref="I22:J22"/>
    <mergeCell ref="B1:J1"/>
    <mergeCell ref="B2:J2"/>
    <mergeCell ref="B3:J3"/>
    <mergeCell ref="B5:F5"/>
    <mergeCell ref="G5:H5"/>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L69"/>
  <sheetViews>
    <sheetView showGridLines="0" zoomScaleNormal="100" workbookViewId="0">
      <pane xSplit="2" ySplit="8" topLeftCell="C9" activePane="bottomRight" state="frozen"/>
      <selection pane="topRight" activeCell="C1" sqref="C1"/>
      <selection pane="bottomLeft" activeCell="A9" sqref="A9"/>
      <selection pane="bottomRight"/>
    </sheetView>
  </sheetViews>
  <sheetFormatPr defaultColWidth="8.6328125" defaultRowHeight="14.5" x14ac:dyDescent="0.35"/>
  <cols>
    <col min="2" max="2" width="10" customWidth="1"/>
    <col min="3" max="4" width="18" customWidth="1"/>
    <col min="5" max="5" width="16" customWidth="1"/>
    <col min="6" max="6" width="14" customWidth="1"/>
    <col min="7" max="9" width="16" customWidth="1"/>
    <col min="10" max="10" width="18" customWidth="1"/>
    <col min="11" max="11" width="10" customWidth="1"/>
    <col min="12" max="12" width="28" customWidth="1"/>
  </cols>
  <sheetData>
    <row r="1" spans="2:12" ht="36" customHeight="1" x14ac:dyDescent="0.35">
      <c r="B1" s="245" t="s">
        <v>238</v>
      </c>
      <c r="C1" s="245"/>
      <c r="D1" s="245"/>
      <c r="E1" s="245"/>
      <c r="F1" s="245"/>
      <c r="G1" s="245"/>
      <c r="H1" s="245"/>
      <c r="I1" s="245"/>
      <c r="J1" s="245"/>
      <c r="K1" s="245"/>
      <c r="L1" s="245"/>
    </row>
    <row r="2" spans="2:12" ht="18" customHeight="1" x14ac:dyDescent="0.35">
      <c r="B2" s="244" t="s">
        <v>239</v>
      </c>
      <c r="C2" s="244"/>
      <c r="D2" s="244"/>
      <c r="E2" s="244"/>
      <c r="F2" s="244"/>
      <c r="G2" s="244"/>
      <c r="H2" s="244"/>
      <c r="I2" s="244"/>
      <c r="J2" s="244"/>
      <c r="K2" s="244"/>
      <c r="L2" s="244"/>
    </row>
    <row r="3" spans="2:12" ht="30" customHeight="1" x14ac:dyDescent="0.35">
      <c r="B3" s="246" t="s">
        <v>240</v>
      </c>
      <c r="C3" s="246"/>
      <c r="D3" s="246"/>
      <c r="E3" s="246"/>
      <c r="F3" s="246"/>
      <c r="G3" s="246"/>
      <c r="H3" s="246"/>
      <c r="I3" s="246"/>
      <c r="J3" s="246"/>
      <c r="K3" s="246"/>
      <c r="L3" s="246"/>
    </row>
    <row r="5" spans="2:12" ht="25.5" customHeight="1" x14ac:dyDescent="0.35">
      <c r="B5" s="247" t="s">
        <v>241</v>
      </c>
      <c r="C5" s="247"/>
      <c r="D5" s="247"/>
      <c r="E5" s="247"/>
      <c r="F5" s="247"/>
      <c r="G5" s="247"/>
      <c r="H5" s="247"/>
      <c r="I5" s="247"/>
      <c r="J5" s="247"/>
      <c r="K5" s="247"/>
      <c r="L5" s="247"/>
    </row>
    <row r="6" spans="2:12" ht="24" customHeight="1" x14ac:dyDescent="0.35">
      <c r="B6" s="153" t="s">
        <v>242</v>
      </c>
      <c r="C6" s="154">
        <f>'💸 Debt Tracker'!B27</f>
        <v>0</v>
      </c>
      <c r="D6" s="153" t="s">
        <v>243</v>
      </c>
      <c r="E6" s="154">
        <f>'💸 Debt Tracker'!D27</f>
        <v>0</v>
      </c>
      <c r="F6" s="153" t="s">
        <v>244</v>
      </c>
      <c r="G6" s="155">
        <f>'💸 Debt Tracker'!F27</f>
        <v>0</v>
      </c>
      <c r="H6" s="153" t="s">
        <v>224</v>
      </c>
      <c r="I6" s="156">
        <f>'💸 Debt Tracker'!H27</f>
        <v>0</v>
      </c>
      <c r="J6" s="153" t="s">
        <v>245</v>
      </c>
      <c r="K6" s="154">
        <f>'💸 Debt Tracker'!G6</f>
        <v>0</v>
      </c>
    </row>
    <row r="7" spans="2:12" ht="25.5" customHeight="1" x14ac:dyDescent="0.35">
      <c r="B7" s="248" t="s">
        <v>246</v>
      </c>
      <c r="C7" s="248"/>
      <c r="D7" s="248"/>
      <c r="E7" s="248"/>
      <c r="F7" s="248"/>
      <c r="G7" s="248"/>
      <c r="H7" s="248"/>
      <c r="I7" s="248"/>
      <c r="J7" s="248"/>
      <c r="K7" s="248"/>
      <c r="L7" s="248"/>
    </row>
    <row r="8" spans="2:12" ht="36" customHeight="1" x14ac:dyDescent="0.35">
      <c r="B8" s="157" t="s">
        <v>247</v>
      </c>
      <c r="C8" s="157" t="s">
        <v>248</v>
      </c>
      <c r="D8" s="157" t="s">
        <v>249</v>
      </c>
      <c r="E8" s="157" t="s">
        <v>250</v>
      </c>
      <c r="F8" s="157" t="s">
        <v>251</v>
      </c>
      <c r="G8" s="157" t="s">
        <v>252</v>
      </c>
      <c r="H8" s="157" t="s">
        <v>253</v>
      </c>
      <c r="I8" s="157" t="s">
        <v>254</v>
      </c>
      <c r="J8" s="157" t="s">
        <v>255</v>
      </c>
      <c r="K8" s="157" t="s">
        <v>256</v>
      </c>
      <c r="L8" s="157" t="s">
        <v>257</v>
      </c>
    </row>
    <row r="9" spans="2:12" ht="18" customHeight="1" x14ac:dyDescent="0.35">
      <c r="B9" s="158">
        <v>1</v>
      </c>
      <c r="C9" s="159" t="str">
        <f ca="1">TEXT(EDATE(TODAY(),0),"mmm YYYY")</f>
        <v>Jun 2026</v>
      </c>
      <c r="D9" s="160">
        <f>'💸 Debt Tracker'!B27</f>
        <v>0</v>
      </c>
      <c r="E9" s="160">
        <f>'💸 Debt Tracker'!D27</f>
        <v>0</v>
      </c>
      <c r="F9" s="161">
        <f>'💸 Debt Tracker'!G6</f>
        <v>0</v>
      </c>
      <c r="G9" s="162">
        <f t="shared" ref="G9:G40" si="0">IF(D9&lt;=0,0,MIN(E9+F9,D9))</f>
        <v>0</v>
      </c>
      <c r="H9" s="163">
        <f>IF(D9&lt;=0,0,ROUND(D9*('💸 Debt Tracker'!F27/12),2))</f>
        <v>0</v>
      </c>
      <c r="I9" s="161">
        <f t="shared" ref="I9:I40" si="1">IF(D9&lt;=0,0,MAX(0,G9-H9))</f>
        <v>0</v>
      </c>
      <c r="J9" s="164">
        <f t="shared" ref="J9:J40" si="2">IF(D9&lt;=0,0,MAX(0,D9-I9))</f>
        <v>0</v>
      </c>
      <c r="K9" s="165">
        <f>IF('💸 Debt Tracker'!B27=0,0,MAX(0,1-J9/'💸 Debt Tracker'!B27))</f>
        <v>0</v>
      </c>
      <c r="L9" s="166" t="str">
        <f t="shared" ref="L9:L40" si="3">IF(J9&lt;=0,"🎉 DEBT FREE!",IF(K9&gt;=0.75,"75% — keep pushing!",IF(K9&gt;=0.5,"Halfway — momentum!",IF(K9&gt;=0.25,"25% done — great start!",""))))</f>
        <v>🎉 DEBT FREE!</v>
      </c>
    </row>
    <row r="10" spans="2:12" ht="18" customHeight="1" x14ac:dyDescent="0.35">
      <c r="B10" s="167">
        <v>2</v>
      </c>
      <c r="C10" s="168" t="str">
        <f ca="1">TEXT(EDATE(TODAY(),1),"mmm YYYY")</f>
        <v>Jul 2026</v>
      </c>
      <c r="D10" s="169">
        <f t="shared" ref="D10:D41" si="4">IF(J9&lt;=0,0,J9)</f>
        <v>0</v>
      </c>
      <c r="E10" s="169">
        <f>'💸 Debt Tracker'!D27</f>
        <v>0</v>
      </c>
      <c r="F10" s="170">
        <f>'💸 Debt Tracker'!G6</f>
        <v>0</v>
      </c>
      <c r="G10" s="171">
        <f t="shared" si="0"/>
        <v>0</v>
      </c>
      <c r="H10" s="172">
        <f>IF(D10&lt;=0,0,ROUND(D10*('💸 Debt Tracker'!F27/12),2))</f>
        <v>0</v>
      </c>
      <c r="I10" s="170">
        <f t="shared" si="1"/>
        <v>0</v>
      </c>
      <c r="J10" s="173">
        <f t="shared" si="2"/>
        <v>0</v>
      </c>
      <c r="K10" s="174">
        <f>IF('💸 Debt Tracker'!B27=0,0,MAX(0,1-J10/'💸 Debt Tracker'!B27))</f>
        <v>0</v>
      </c>
      <c r="L10" s="175" t="str">
        <f t="shared" si="3"/>
        <v>🎉 DEBT FREE!</v>
      </c>
    </row>
    <row r="11" spans="2:12" ht="18" customHeight="1" x14ac:dyDescent="0.35">
      <c r="B11" s="158">
        <v>3</v>
      </c>
      <c r="C11" s="159" t="str">
        <f ca="1">TEXT(EDATE(TODAY(),2),"mmm YYYY")</f>
        <v>Aug 2026</v>
      </c>
      <c r="D11" s="160">
        <f t="shared" si="4"/>
        <v>0</v>
      </c>
      <c r="E11" s="160">
        <f>'💸 Debt Tracker'!D27</f>
        <v>0</v>
      </c>
      <c r="F11" s="161">
        <f>'💸 Debt Tracker'!G6</f>
        <v>0</v>
      </c>
      <c r="G11" s="162">
        <f t="shared" si="0"/>
        <v>0</v>
      </c>
      <c r="H11" s="163">
        <f>IF(D11&lt;=0,0,ROUND(D11*('💸 Debt Tracker'!F27/12),2))</f>
        <v>0</v>
      </c>
      <c r="I11" s="161">
        <f t="shared" si="1"/>
        <v>0</v>
      </c>
      <c r="J11" s="164">
        <f t="shared" si="2"/>
        <v>0</v>
      </c>
      <c r="K11" s="165">
        <f>IF('💸 Debt Tracker'!B27=0,0,MAX(0,1-J11/'💸 Debt Tracker'!B27))</f>
        <v>0</v>
      </c>
      <c r="L11" s="166" t="str">
        <f t="shared" si="3"/>
        <v>🎉 DEBT FREE!</v>
      </c>
    </row>
    <row r="12" spans="2:12" ht="18" customHeight="1" x14ac:dyDescent="0.35">
      <c r="B12" s="167">
        <v>4</v>
      </c>
      <c r="C12" s="168" t="str">
        <f ca="1">TEXT(EDATE(TODAY(),3),"mmm YYYY")</f>
        <v>Sep 2026</v>
      </c>
      <c r="D12" s="169">
        <f t="shared" si="4"/>
        <v>0</v>
      </c>
      <c r="E12" s="169">
        <f>'💸 Debt Tracker'!D27</f>
        <v>0</v>
      </c>
      <c r="F12" s="170">
        <f>'💸 Debt Tracker'!G6</f>
        <v>0</v>
      </c>
      <c r="G12" s="171">
        <f t="shared" si="0"/>
        <v>0</v>
      </c>
      <c r="H12" s="172">
        <f>IF(D12&lt;=0,0,ROUND(D12*('💸 Debt Tracker'!F27/12),2))</f>
        <v>0</v>
      </c>
      <c r="I12" s="170">
        <f t="shared" si="1"/>
        <v>0</v>
      </c>
      <c r="J12" s="173">
        <f t="shared" si="2"/>
        <v>0</v>
      </c>
      <c r="K12" s="174">
        <f>IF('💸 Debt Tracker'!B27=0,0,MAX(0,1-J12/'💸 Debt Tracker'!B27))</f>
        <v>0</v>
      </c>
      <c r="L12" s="175" t="str">
        <f t="shared" si="3"/>
        <v>🎉 DEBT FREE!</v>
      </c>
    </row>
    <row r="13" spans="2:12" ht="18" customHeight="1" x14ac:dyDescent="0.35">
      <c r="B13" s="158">
        <v>5</v>
      </c>
      <c r="C13" s="159" t="str">
        <f ca="1">TEXT(EDATE(TODAY(),4),"mmm YYYY")</f>
        <v>Oct 2026</v>
      </c>
      <c r="D13" s="160">
        <f t="shared" si="4"/>
        <v>0</v>
      </c>
      <c r="E13" s="160">
        <f>'💸 Debt Tracker'!D27</f>
        <v>0</v>
      </c>
      <c r="F13" s="161">
        <f>'💸 Debt Tracker'!G6</f>
        <v>0</v>
      </c>
      <c r="G13" s="162">
        <f t="shared" si="0"/>
        <v>0</v>
      </c>
      <c r="H13" s="163">
        <f>IF(D13&lt;=0,0,ROUND(D13*('💸 Debt Tracker'!F27/12),2))</f>
        <v>0</v>
      </c>
      <c r="I13" s="161">
        <f t="shared" si="1"/>
        <v>0</v>
      </c>
      <c r="J13" s="164">
        <f t="shared" si="2"/>
        <v>0</v>
      </c>
      <c r="K13" s="165">
        <f>IF('💸 Debt Tracker'!B27=0,0,MAX(0,1-J13/'💸 Debt Tracker'!B27))</f>
        <v>0</v>
      </c>
      <c r="L13" s="166" t="str">
        <f t="shared" si="3"/>
        <v>🎉 DEBT FREE!</v>
      </c>
    </row>
    <row r="14" spans="2:12" ht="18" customHeight="1" x14ac:dyDescent="0.35">
      <c r="B14" s="167">
        <v>6</v>
      </c>
      <c r="C14" s="168" t="str">
        <f ca="1">TEXT(EDATE(TODAY(),5),"mmm YYYY")</f>
        <v>Nov 2026</v>
      </c>
      <c r="D14" s="169">
        <f t="shared" si="4"/>
        <v>0</v>
      </c>
      <c r="E14" s="169">
        <f>'💸 Debt Tracker'!D27</f>
        <v>0</v>
      </c>
      <c r="F14" s="170">
        <f>'💸 Debt Tracker'!G6</f>
        <v>0</v>
      </c>
      <c r="G14" s="171">
        <f t="shared" si="0"/>
        <v>0</v>
      </c>
      <c r="H14" s="172">
        <f>IF(D14&lt;=0,0,ROUND(D14*('💸 Debt Tracker'!F27/12),2))</f>
        <v>0</v>
      </c>
      <c r="I14" s="170">
        <f t="shared" si="1"/>
        <v>0</v>
      </c>
      <c r="J14" s="173">
        <f t="shared" si="2"/>
        <v>0</v>
      </c>
      <c r="K14" s="174">
        <f>IF('💸 Debt Tracker'!B27=0,0,MAX(0,1-J14/'💸 Debt Tracker'!B27))</f>
        <v>0</v>
      </c>
      <c r="L14" s="175" t="str">
        <f t="shared" si="3"/>
        <v>🎉 DEBT FREE!</v>
      </c>
    </row>
    <row r="15" spans="2:12" ht="18" customHeight="1" x14ac:dyDescent="0.35">
      <c r="B15" s="158">
        <v>7</v>
      </c>
      <c r="C15" s="159" t="str">
        <f ca="1">TEXT(EDATE(TODAY(),6),"mmm YYYY")</f>
        <v>Dec 2026</v>
      </c>
      <c r="D15" s="160">
        <f t="shared" si="4"/>
        <v>0</v>
      </c>
      <c r="E15" s="160">
        <f>'💸 Debt Tracker'!D27</f>
        <v>0</v>
      </c>
      <c r="F15" s="161">
        <f>'💸 Debt Tracker'!G6</f>
        <v>0</v>
      </c>
      <c r="G15" s="162">
        <f t="shared" si="0"/>
        <v>0</v>
      </c>
      <c r="H15" s="163">
        <f>IF(D15&lt;=0,0,ROUND(D15*('💸 Debt Tracker'!F27/12),2))</f>
        <v>0</v>
      </c>
      <c r="I15" s="161">
        <f t="shared" si="1"/>
        <v>0</v>
      </c>
      <c r="J15" s="164">
        <f t="shared" si="2"/>
        <v>0</v>
      </c>
      <c r="K15" s="165">
        <f>IF('💸 Debt Tracker'!B27=0,0,MAX(0,1-J15/'💸 Debt Tracker'!B27))</f>
        <v>0</v>
      </c>
      <c r="L15" s="166" t="str">
        <f t="shared" si="3"/>
        <v>🎉 DEBT FREE!</v>
      </c>
    </row>
    <row r="16" spans="2:12" ht="18" customHeight="1" x14ac:dyDescent="0.35">
      <c r="B16" s="167">
        <v>8</v>
      </c>
      <c r="C16" s="168" t="str">
        <f ca="1">TEXT(EDATE(TODAY(),7),"mmm YYYY")</f>
        <v>Jan 2027</v>
      </c>
      <c r="D16" s="169">
        <f t="shared" si="4"/>
        <v>0</v>
      </c>
      <c r="E16" s="169">
        <f>'💸 Debt Tracker'!D27</f>
        <v>0</v>
      </c>
      <c r="F16" s="170">
        <f>'💸 Debt Tracker'!G6</f>
        <v>0</v>
      </c>
      <c r="G16" s="171">
        <f t="shared" si="0"/>
        <v>0</v>
      </c>
      <c r="H16" s="172">
        <f>IF(D16&lt;=0,0,ROUND(D16*('💸 Debt Tracker'!F27/12),2))</f>
        <v>0</v>
      </c>
      <c r="I16" s="170">
        <f t="shared" si="1"/>
        <v>0</v>
      </c>
      <c r="J16" s="173">
        <f t="shared" si="2"/>
        <v>0</v>
      </c>
      <c r="K16" s="174">
        <f>IF('💸 Debt Tracker'!B27=0,0,MAX(0,1-J16/'💸 Debt Tracker'!B27))</f>
        <v>0</v>
      </c>
      <c r="L16" s="175" t="str">
        <f t="shared" si="3"/>
        <v>🎉 DEBT FREE!</v>
      </c>
    </row>
    <row r="17" spans="2:12" ht="18" customHeight="1" x14ac:dyDescent="0.35">
      <c r="B17" s="158">
        <v>9</v>
      </c>
      <c r="C17" s="159" t="str">
        <f ca="1">TEXT(EDATE(TODAY(),8),"mmm YYYY")</f>
        <v>Feb 2027</v>
      </c>
      <c r="D17" s="160">
        <f t="shared" si="4"/>
        <v>0</v>
      </c>
      <c r="E17" s="160">
        <f>'💸 Debt Tracker'!D27</f>
        <v>0</v>
      </c>
      <c r="F17" s="161">
        <f>'💸 Debt Tracker'!G6</f>
        <v>0</v>
      </c>
      <c r="G17" s="162">
        <f t="shared" si="0"/>
        <v>0</v>
      </c>
      <c r="H17" s="163">
        <f>IF(D17&lt;=0,0,ROUND(D17*('💸 Debt Tracker'!F27/12),2))</f>
        <v>0</v>
      </c>
      <c r="I17" s="161">
        <f t="shared" si="1"/>
        <v>0</v>
      </c>
      <c r="J17" s="164">
        <f t="shared" si="2"/>
        <v>0</v>
      </c>
      <c r="K17" s="165">
        <f>IF('💸 Debt Tracker'!B27=0,0,MAX(0,1-J17/'💸 Debt Tracker'!B27))</f>
        <v>0</v>
      </c>
      <c r="L17" s="166" t="str">
        <f t="shared" si="3"/>
        <v>🎉 DEBT FREE!</v>
      </c>
    </row>
    <row r="18" spans="2:12" ht="18" customHeight="1" x14ac:dyDescent="0.35">
      <c r="B18" s="167">
        <v>10</v>
      </c>
      <c r="C18" s="168" t="str">
        <f ca="1">TEXT(EDATE(TODAY(),9),"mmm YYYY")</f>
        <v>Mar 2027</v>
      </c>
      <c r="D18" s="169">
        <f t="shared" si="4"/>
        <v>0</v>
      </c>
      <c r="E18" s="169">
        <f>'💸 Debt Tracker'!D27</f>
        <v>0</v>
      </c>
      <c r="F18" s="170">
        <f>'💸 Debt Tracker'!G6</f>
        <v>0</v>
      </c>
      <c r="G18" s="171">
        <f t="shared" si="0"/>
        <v>0</v>
      </c>
      <c r="H18" s="172">
        <f>IF(D18&lt;=0,0,ROUND(D18*('💸 Debt Tracker'!F27/12),2))</f>
        <v>0</v>
      </c>
      <c r="I18" s="170">
        <f t="shared" si="1"/>
        <v>0</v>
      </c>
      <c r="J18" s="173">
        <f t="shared" si="2"/>
        <v>0</v>
      </c>
      <c r="K18" s="174">
        <f>IF('💸 Debt Tracker'!B27=0,0,MAX(0,1-J18/'💸 Debt Tracker'!B27))</f>
        <v>0</v>
      </c>
      <c r="L18" s="175" t="str">
        <f t="shared" si="3"/>
        <v>🎉 DEBT FREE!</v>
      </c>
    </row>
    <row r="19" spans="2:12" ht="18" customHeight="1" x14ac:dyDescent="0.35">
      <c r="B19" s="158">
        <v>11</v>
      </c>
      <c r="C19" s="159" t="str">
        <f ca="1">TEXT(EDATE(TODAY(),10),"mmm YYYY")</f>
        <v>Apr 2027</v>
      </c>
      <c r="D19" s="160">
        <f t="shared" si="4"/>
        <v>0</v>
      </c>
      <c r="E19" s="160">
        <f>'💸 Debt Tracker'!D27</f>
        <v>0</v>
      </c>
      <c r="F19" s="161">
        <f>'💸 Debt Tracker'!G6</f>
        <v>0</v>
      </c>
      <c r="G19" s="162">
        <f t="shared" si="0"/>
        <v>0</v>
      </c>
      <c r="H19" s="163">
        <f>IF(D19&lt;=0,0,ROUND(D19*('💸 Debt Tracker'!F27/12),2))</f>
        <v>0</v>
      </c>
      <c r="I19" s="161">
        <f t="shared" si="1"/>
        <v>0</v>
      </c>
      <c r="J19" s="164">
        <f t="shared" si="2"/>
        <v>0</v>
      </c>
      <c r="K19" s="165">
        <f>IF('💸 Debt Tracker'!B27=0,0,MAX(0,1-J19/'💸 Debt Tracker'!B27))</f>
        <v>0</v>
      </c>
      <c r="L19" s="166" t="str">
        <f t="shared" si="3"/>
        <v>🎉 DEBT FREE!</v>
      </c>
    </row>
    <row r="20" spans="2:12" ht="18" customHeight="1" x14ac:dyDescent="0.35">
      <c r="B20" s="167">
        <v>12</v>
      </c>
      <c r="C20" s="168" t="str">
        <f ca="1">TEXT(EDATE(TODAY(),11),"mmm YYYY")</f>
        <v>May 2027</v>
      </c>
      <c r="D20" s="169">
        <f t="shared" si="4"/>
        <v>0</v>
      </c>
      <c r="E20" s="169">
        <f>'💸 Debt Tracker'!D27</f>
        <v>0</v>
      </c>
      <c r="F20" s="170">
        <f>'💸 Debt Tracker'!G6</f>
        <v>0</v>
      </c>
      <c r="G20" s="171">
        <f t="shared" si="0"/>
        <v>0</v>
      </c>
      <c r="H20" s="172">
        <f>IF(D20&lt;=0,0,ROUND(D20*('💸 Debt Tracker'!F27/12),2))</f>
        <v>0</v>
      </c>
      <c r="I20" s="170">
        <f t="shared" si="1"/>
        <v>0</v>
      </c>
      <c r="J20" s="173">
        <f t="shared" si="2"/>
        <v>0</v>
      </c>
      <c r="K20" s="174">
        <f>IF('💸 Debt Tracker'!B27=0,0,MAX(0,1-J20/'💸 Debt Tracker'!B27))</f>
        <v>0</v>
      </c>
      <c r="L20" s="175" t="str">
        <f t="shared" si="3"/>
        <v>🎉 DEBT FREE!</v>
      </c>
    </row>
    <row r="21" spans="2:12" ht="18" customHeight="1" x14ac:dyDescent="0.35">
      <c r="B21" s="158">
        <v>13</v>
      </c>
      <c r="C21" s="159" t="str">
        <f ca="1">TEXT(EDATE(TODAY(),12),"mmm YYYY")</f>
        <v>Jun 2027</v>
      </c>
      <c r="D21" s="160">
        <f t="shared" si="4"/>
        <v>0</v>
      </c>
      <c r="E21" s="160">
        <f>'💸 Debt Tracker'!D27</f>
        <v>0</v>
      </c>
      <c r="F21" s="161">
        <f>'💸 Debt Tracker'!G6</f>
        <v>0</v>
      </c>
      <c r="G21" s="162">
        <f t="shared" si="0"/>
        <v>0</v>
      </c>
      <c r="H21" s="163">
        <f>IF(D21&lt;=0,0,ROUND(D21*('💸 Debt Tracker'!F27/12),2))</f>
        <v>0</v>
      </c>
      <c r="I21" s="161">
        <f t="shared" si="1"/>
        <v>0</v>
      </c>
      <c r="J21" s="164">
        <f t="shared" si="2"/>
        <v>0</v>
      </c>
      <c r="K21" s="165">
        <f>IF('💸 Debt Tracker'!B27=0,0,MAX(0,1-J21/'💸 Debt Tracker'!B27))</f>
        <v>0</v>
      </c>
      <c r="L21" s="166" t="str">
        <f t="shared" si="3"/>
        <v>🎉 DEBT FREE!</v>
      </c>
    </row>
    <row r="22" spans="2:12" ht="18" customHeight="1" x14ac:dyDescent="0.35">
      <c r="B22" s="167">
        <v>14</v>
      </c>
      <c r="C22" s="168" t="str">
        <f ca="1">TEXT(EDATE(TODAY(),13),"mmm YYYY")</f>
        <v>Jul 2027</v>
      </c>
      <c r="D22" s="169">
        <f t="shared" si="4"/>
        <v>0</v>
      </c>
      <c r="E22" s="169">
        <f>'💸 Debt Tracker'!D27</f>
        <v>0</v>
      </c>
      <c r="F22" s="170">
        <f>'💸 Debt Tracker'!G6</f>
        <v>0</v>
      </c>
      <c r="G22" s="171">
        <f t="shared" si="0"/>
        <v>0</v>
      </c>
      <c r="H22" s="172">
        <f>IF(D22&lt;=0,0,ROUND(D22*('💸 Debt Tracker'!F27/12),2))</f>
        <v>0</v>
      </c>
      <c r="I22" s="170">
        <f t="shared" si="1"/>
        <v>0</v>
      </c>
      <c r="J22" s="173">
        <f t="shared" si="2"/>
        <v>0</v>
      </c>
      <c r="K22" s="174">
        <f>IF('💸 Debt Tracker'!B27=0,0,MAX(0,1-J22/'💸 Debt Tracker'!B27))</f>
        <v>0</v>
      </c>
      <c r="L22" s="175" t="str">
        <f t="shared" si="3"/>
        <v>🎉 DEBT FREE!</v>
      </c>
    </row>
    <row r="23" spans="2:12" ht="18" customHeight="1" x14ac:dyDescent="0.35">
      <c r="B23" s="158">
        <v>15</v>
      </c>
      <c r="C23" s="159" t="str">
        <f ca="1">TEXT(EDATE(TODAY(),14),"mmm YYYY")</f>
        <v>Aug 2027</v>
      </c>
      <c r="D23" s="160">
        <f t="shared" si="4"/>
        <v>0</v>
      </c>
      <c r="E23" s="160">
        <f>'💸 Debt Tracker'!D27</f>
        <v>0</v>
      </c>
      <c r="F23" s="161">
        <f>'💸 Debt Tracker'!G6</f>
        <v>0</v>
      </c>
      <c r="G23" s="162">
        <f t="shared" si="0"/>
        <v>0</v>
      </c>
      <c r="H23" s="163">
        <f>IF(D23&lt;=0,0,ROUND(D23*('💸 Debt Tracker'!F27/12),2))</f>
        <v>0</v>
      </c>
      <c r="I23" s="161">
        <f t="shared" si="1"/>
        <v>0</v>
      </c>
      <c r="J23" s="164">
        <f t="shared" si="2"/>
        <v>0</v>
      </c>
      <c r="K23" s="165">
        <f>IF('💸 Debt Tracker'!B27=0,0,MAX(0,1-J23/'💸 Debt Tracker'!B27))</f>
        <v>0</v>
      </c>
      <c r="L23" s="166" t="str">
        <f t="shared" si="3"/>
        <v>🎉 DEBT FREE!</v>
      </c>
    </row>
    <row r="24" spans="2:12" ht="18" customHeight="1" x14ac:dyDescent="0.35">
      <c r="B24" s="167">
        <v>16</v>
      </c>
      <c r="C24" s="168" t="str">
        <f ca="1">TEXT(EDATE(TODAY(),15),"mmm YYYY")</f>
        <v>Sep 2027</v>
      </c>
      <c r="D24" s="169">
        <f t="shared" si="4"/>
        <v>0</v>
      </c>
      <c r="E24" s="169">
        <f>'💸 Debt Tracker'!D27</f>
        <v>0</v>
      </c>
      <c r="F24" s="170">
        <f>'💸 Debt Tracker'!G6</f>
        <v>0</v>
      </c>
      <c r="G24" s="171">
        <f t="shared" si="0"/>
        <v>0</v>
      </c>
      <c r="H24" s="172">
        <f>IF(D24&lt;=0,0,ROUND(D24*('💸 Debt Tracker'!F27/12),2))</f>
        <v>0</v>
      </c>
      <c r="I24" s="170">
        <f t="shared" si="1"/>
        <v>0</v>
      </c>
      <c r="J24" s="173">
        <f t="shared" si="2"/>
        <v>0</v>
      </c>
      <c r="K24" s="174">
        <f>IF('💸 Debt Tracker'!B27=0,0,MAX(0,1-J24/'💸 Debt Tracker'!B27))</f>
        <v>0</v>
      </c>
      <c r="L24" s="175" t="str">
        <f t="shared" si="3"/>
        <v>🎉 DEBT FREE!</v>
      </c>
    </row>
    <row r="25" spans="2:12" ht="18" customHeight="1" x14ac:dyDescent="0.35">
      <c r="B25" s="158">
        <v>17</v>
      </c>
      <c r="C25" s="159" t="str">
        <f ca="1">TEXT(EDATE(TODAY(),16),"mmm YYYY")</f>
        <v>Oct 2027</v>
      </c>
      <c r="D25" s="160">
        <f t="shared" si="4"/>
        <v>0</v>
      </c>
      <c r="E25" s="160">
        <f>'💸 Debt Tracker'!D27</f>
        <v>0</v>
      </c>
      <c r="F25" s="161">
        <f>'💸 Debt Tracker'!G6</f>
        <v>0</v>
      </c>
      <c r="G25" s="162">
        <f t="shared" si="0"/>
        <v>0</v>
      </c>
      <c r="H25" s="163">
        <f>IF(D25&lt;=0,0,ROUND(D25*('💸 Debt Tracker'!F27/12),2))</f>
        <v>0</v>
      </c>
      <c r="I25" s="161">
        <f t="shared" si="1"/>
        <v>0</v>
      </c>
      <c r="J25" s="164">
        <f t="shared" si="2"/>
        <v>0</v>
      </c>
      <c r="K25" s="165">
        <f>IF('💸 Debt Tracker'!B27=0,0,MAX(0,1-J25/'💸 Debt Tracker'!B27))</f>
        <v>0</v>
      </c>
      <c r="L25" s="166" t="str">
        <f t="shared" si="3"/>
        <v>🎉 DEBT FREE!</v>
      </c>
    </row>
    <row r="26" spans="2:12" ht="18" customHeight="1" x14ac:dyDescent="0.35">
      <c r="B26" s="167">
        <v>18</v>
      </c>
      <c r="C26" s="168" t="str">
        <f ca="1">TEXT(EDATE(TODAY(),17),"mmm YYYY")</f>
        <v>Nov 2027</v>
      </c>
      <c r="D26" s="169">
        <f t="shared" si="4"/>
        <v>0</v>
      </c>
      <c r="E26" s="169">
        <f>'💸 Debt Tracker'!D27</f>
        <v>0</v>
      </c>
      <c r="F26" s="170">
        <f>'💸 Debt Tracker'!G6</f>
        <v>0</v>
      </c>
      <c r="G26" s="171">
        <f t="shared" si="0"/>
        <v>0</v>
      </c>
      <c r="H26" s="172">
        <f>IF(D26&lt;=0,0,ROUND(D26*('💸 Debt Tracker'!F27/12),2))</f>
        <v>0</v>
      </c>
      <c r="I26" s="170">
        <f t="shared" si="1"/>
        <v>0</v>
      </c>
      <c r="J26" s="173">
        <f t="shared" si="2"/>
        <v>0</v>
      </c>
      <c r="K26" s="174">
        <f>IF('💸 Debt Tracker'!B27=0,0,MAX(0,1-J26/'💸 Debt Tracker'!B27))</f>
        <v>0</v>
      </c>
      <c r="L26" s="175" t="str">
        <f t="shared" si="3"/>
        <v>🎉 DEBT FREE!</v>
      </c>
    </row>
    <row r="27" spans="2:12" ht="18" customHeight="1" x14ac:dyDescent="0.35">
      <c r="B27" s="158">
        <v>19</v>
      </c>
      <c r="C27" s="159" t="str">
        <f ca="1">TEXT(EDATE(TODAY(),18),"mmm YYYY")</f>
        <v>Dec 2027</v>
      </c>
      <c r="D27" s="160">
        <f t="shared" si="4"/>
        <v>0</v>
      </c>
      <c r="E27" s="160">
        <f>'💸 Debt Tracker'!D27</f>
        <v>0</v>
      </c>
      <c r="F27" s="161">
        <f>'💸 Debt Tracker'!G6</f>
        <v>0</v>
      </c>
      <c r="G27" s="162">
        <f t="shared" si="0"/>
        <v>0</v>
      </c>
      <c r="H27" s="163">
        <f>IF(D27&lt;=0,0,ROUND(D27*('💸 Debt Tracker'!F27/12),2))</f>
        <v>0</v>
      </c>
      <c r="I27" s="161">
        <f t="shared" si="1"/>
        <v>0</v>
      </c>
      <c r="J27" s="164">
        <f t="shared" si="2"/>
        <v>0</v>
      </c>
      <c r="K27" s="165">
        <f>IF('💸 Debt Tracker'!B27=0,0,MAX(0,1-J27/'💸 Debt Tracker'!B27))</f>
        <v>0</v>
      </c>
      <c r="L27" s="166" t="str">
        <f t="shared" si="3"/>
        <v>🎉 DEBT FREE!</v>
      </c>
    </row>
    <row r="28" spans="2:12" ht="18" customHeight="1" x14ac:dyDescent="0.35">
      <c r="B28" s="167">
        <v>20</v>
      </c>
      <c r="C28" s="168" t="str">
        <f ca="1">TEXT(EDATE(TODAY(),19),"mmm YYYY")</f>
        <v>Jan 2028</v>
      </c>
      <c r="D28" s="169">
        <f t="shared" si="4"/>
        <v>0</v>
      </c>
      <c r="E28" s="169">
        <f>'💸 Debt Tracker'!D27</f>
        <v>0</v>
      </c>
      <c r="F28" s="170">
        <f>'💸 Debt Tracker'!G6</f>
        <v>0</v>
      </c>
      <c r="G28" s="171">
        <f t="shared" si="0"/>
        <v>0</v>
      </c>
      <c r="H28" s="172">
        <f>IF(D28&lt;=0,0,ROUND(D28*('💸 Debt Tracker'!F27/12),2))</f>
        <v>0</v>
      </c>
      <c r="I28" s="170">
        <f t="shared" si="1"/>
        <v>0</v>
      </c>
      <c r="J28" s="173">
        <f t="shared" si="2"/>
        <v>0</v>
      </c>
      <c r="K28" s="174">
        <f>IF('💸 Debt Tracker'!B27=0,0,MAX(0,1-J28/'💸 Debt Tracker'!B27))</f>
        <v>0</v>
      </c>
      <c r="L28" s="175" t="str">
        <f t="shared" si="3"/>
        <v>🎉 DEBT FREE!</v>
      </c>
    </row>
    <row r="29" spans="2:12" ht="18" customHeight="1" x14ac:dyDescent="0.35">
      <c r="B29" s="158">
        <v>21</v>
      </c>
      <c r="C29" s="159" t="str">
        <f ca="1">TEXT(EDATE(TODAY(),20),"mmm YYYY")</f>
        <v>Feb 2028</v>
      </c>
      <c r="D29" s="160">
        <f t="shared" si="4"/>
        <v>0</v>
      </c>
      <c r="E29" s="160">
        <f>'💸 Debt Tracker'!D27</f>
        <v>0</v>
      </c>
      <c r="F29" s="161">
        <f>'💸 Debt Tracker'!G6</f>
        <v>0</v>
      </c>
      <c r="G29" s="162">
        <f t="shared" si="0"/>
        <v>0</v>
      </c>
      <c r="H29" s="163">
        <f>IF(D29&lt;=0,0,ROUND(D29*('💸 Debt Tracker'!F27/12),2))</f>
        <v>0</v>
      </c>
      <c r="I29" s="161">
        <f t="shared" si="1"/>
        <v>0</v>
      </c>
      <c r="J29" s="164">
        <f t="shared" si="2"/>
        <v>0</v>
      </c>
      <c r="K29" s="165">
        <f>IF('💸 Debt Tracker'!B27=0,0,MAX(0,1-J29/'💸 Debt Tracker'!B27))</f>
        <v>0</v>
      </c>
      <c r="L29" s="166" t="str">
        <f t="shared" si="3"/>
        <v>🎉 DEBT FREE!</v>
      </c>
    </row>
    <row r="30" spans="2:12" ht="18" customHeight="1" x14ac:dyDescent="0.35">
      <c r="B30" s="167">
        <v>22</v>
      </c>
      <c r="C30" s="168" t="str">
        <f ca="1">TEXT(EDATE(TODAY(),21),"mmm YYYY")</f>
        <v>Mar 2028</v>
      </c>
      <c r="D30" s="169">
        <f t="shared" si="4"/>
        <v>0</v>
      </c>
      <c r="E30" s="169">
        <f>'💸 Debt Tracker'!D27</f>
        <v>0</v>
      </c>
      <c r="F30" s="170">
        <f>'💸 Debt Tracker'!G6</f>
        <v>0</v>
      </c>
      <c r="G30" s="171">
        <f t="shared" si="0"/>
        <v>0</v>
      </c>
      <c r="H30" s="172">
        <f>IF(D30&lt;=0,0,ROUND(D30*('💸 Debt Tracker'!F27/12),2))</f>
        <v>0</v>
      </c>
      <c r="I30" s="170">
        <f t="shared" si="1"/>
        <v>0</v>
      </c>
      <c r="J30" s="173">
        <f t="shared" si="2"/>
        <v>0</v>
      </c>
      <c r="K30" s="174">
        <f>IF('💸 Debt Tracker'!B27=0,0,MAX(0,1-J30/'💸 Debt Tracker'!B27))</f>
        <v>0</v>
      </c>
      <c r="L30" s="175" t="str">
        <f t="shared" si="3"/>
        <v>🎉 DEBT FREE!</v>
      </c>
    </row>
    <row r="31" spans="2:12" ht="18" customHeight="1" x14ac:dyDescent="0.35">
      <c r="B31" s="158">
        <v>23</v>
      </c>
      <c r="C31" s="159" t="str">
        <f ca="1">TEXT(EDATE(TODAY(),22),"mmm YYYY")</f>
        <v>Apr 2028</v>
      </c>
      <c r="D31" s="160">
        <f t="shared" si="4"/>
        <v>0</v>
      </c>
      <c r="E31" s="160">
        <f>'💸 Debt Tracker'!D27</f>
        <v>0</v>
      </c>
      <c r="F31" s="161">
        <f>'💸 Debt Tracker'!G6</f>
        <v>0</v>
      </c>
      <c r="G31" s="162">
        <f t="shared" si="0"/>
        <v>0</v>
      </c>
      <c r="H31" s="163">
        <f>IF(D31&lt;=0,0,ROUND(D31*('💸 Debt Tracker'!F27/12),2))</f>
        <v>0</v>
      </c>
      <c r="I31" s="161">
        <f t="shared" si="1"/>
        <v>0</v>
      </c>
      <c r="J31" s="164">
        <f t="shared" si="2"/>
        <v>0</v>
      </c>
      <c r="K31" s="165">
        <f>IF('💸 Debt Tracker'!B27=0,0,MAX(0,1-J31/'💸 Debt Tracker'!B27))</f>
        <v>0</v>
      </c>
      <c r="L31" s="166" t="str">
        <f t="shared" si="3"/>
        <v>🎉 DEBT FREE!</v>
      </c>
    </row>
    <row r="32" spans="2:12" ht="18" customHeight="1" x14ac:dyDescent="0.35">
      <c r="B32" s="167">
        <v>24</v>
      </c>
      <c r="C32" s="168" t="str">
        <f ca="1">TEXT(EDATE(TODAY(),23),"mmm YYYY")</f>
        <v>May 2028</v>
      </c>
      <c r="D32" s="169">
        <f t="shared" si="4"/>
        <v>0</v>
      </c>
      <c r="E32" s="169">
        <f>'💸 Debt Tracker'!D27</f>
        <v>0</v>
      </c>
      <c r="F32" s="170">
        <f>'💸 Debt Tracker'!G6</f>
        <v>0</v>
      </c>
      <c r="G32" s="171">
        <f t="shared" si="0"/>
        <v>0</v>
      </c>
      <c r="H32" s="172">
        <f>IF(D32&lt;=0,0,ROUND(D32*('💸 Debt Tracker'!F27/12),2))</f>
        <v>0</v>
      </c>
      <c r="I32" s="170">
        <f t="shared" si="1"/>
        <v>0</v>
      </c>
      <c r="J32" s="173">
        <f t="shared" si="2"/>
        <v>0</v>
      </c>
      <c r="K32" s="174">
        <f>IF('💸 Debt Tracker'!B27=0,0,MAX(0,1-J32/'💸 Debt Tracker'!B27))</f>
        <v>0</v>
      </c>
      <c r="L32" s="175" t="str">
        <f t="shared" si="3"/>
        <v>🎉 DEBT FREE!</v>
      </c>
    </row>
    <row r="33" spans="2:12" ht="18" customHeight="1" x14ac:dyDescent="0.35">
      <c r="B33" s="158">
        <v>25</v>
      </c>
      <c r="C33" s="159" t="str">
        <f ca="1">TEXT(EDATE(TODAY(),24),"mmm YYYY")</f>
        <v>Jun 2028</v>
      </c>
      <c r="D33" s="160">
        <f t="shared" si="4"/>
        <v>0</v>
      </c>
      <c r="E33" s="160">
        <f>'💸 Debt Tracker'!D27</f>
        <v>0</v>
      </c>
      <c r="F33" s="161">
        <f>'💸 Debt Tracker'!G6</f>
        <v>0</v>
      </c>
      <c r="G33" s="162">
        <f t="shared" si="0"/>
        <v>0</v>
      </c>
      <c r="H33" s="163">
        <f>IF(D33&lt;=0,0,ROUND(D33*('💸 Debt Tracker'!F27/12),2))</f>
        <v>0</v>
      </c>
      <c r="I33" s="161">
        <f t="shared" si="1"/>
        <v>0</v>
      </c>
      <c r="J33" s="164">
        <f t="shared" si="2"/>
        <v>0</v>
      </c>
      <c r="K33" s="165">
        <f>IF('💸 Debt Tracker'!B27=0,0,MAX(0,1-J33/'💸 Debt Tracker'!B27))</f>
        <v>0</v>
      </c>
      <c r="L33" s="166" t="str">
        <f t="shared" si="3"/>
        <v>🎉 DEBT FREE!</v>
      </c>
    </row>
    <row r="34" spans="2:12" ht="18" customHeight="1" x14ac:dyDescent="0.35">
      <c r="B34" s="167">
        <v>26</v>
      </c>
      <c r="C34" s="168" t="str">
        <f ca="1">TEXT(EDATE(TODAY(),25),"mmm YYYY")</f>
        <v>Jul 2028</v>
      </c>
      <c r="D34" s="169">
        <f t="shared" si="4"/>
        <v>0</v>
      </c>
      <c r="E34" s="169">
        <f>'💸 Debt Tracker'!D27</f>
        <v>0</v>
      </c>
      <c r="F34" s="170">
        <f>'💸 Debt Tracker'!G6</f>
        <v>0</v>
      </c>
      <c r="G34" s="171">
        <f t="shared" si="0"/>
        <v>0</v>
      </c>
      <c r="H34" s="172">
        <f>IF(D34&lt;=0,0,ROUND(D34*('💸 Debt Tracker'!F27/12),2))</f>
        <v>0</v>
      </c>
      <c r="I34" s="170">
        <f t="shared" si="1"/>
        <v>0</v>
      </c>
      <c r="J34" s="173">
        <f t="shared" si="2"/>
        <v>0</v>
      </c>
      <c r="K34" s="174">
        <f>IF('💸 Debt Tracker'!B27=0,0,MAX(0,1-J34/'💸 Debt Tracker'!B27))</f>
        <v>0</v>
      </c>
      <c r="L34" s="175" t="str">
        <f t="shared" si="3"/>
        <v>🎉 DEBT FREE!</v>
      </c>
    </row>
    <row r="35" spans="2:12" ht="18" customHeight="1" x14ac:dyDescent="0.35">
      <c r="B35" s="158">
        <v>27</v>
      </c>
      <c r="C35" s="159" t="str">
        <f ca="1">TEXT(EDATE(TODAY(),26),"mmm YYYY")</f>
        <v>Aug 2028</v>
      </c>
      <c r="D35" s="160">
        <f t="shared" si="4"/>
        <v>0</v>
      </c>
      <c r="E35" s="160">
        <f>'💸 Debt Tracker'!D27</f>
        <v>0</v>
      </c>
      <c r="F35" s="161">
        <f>'💸 Debt Tracker'!G6</f>
        <v>0</v>
      </c>
      <c r="G35" s="162">
        <f t="shared" si="0"/>
        <v>0</v>
      </c>
      <c r="H35" s="163">
        <f>IF(D35&lt;=0,0,ROUND(D35*('💸 Debt Tracker'!F27/12),2))</f>
        <v>0</v>
      </c>
      <c r="I35" s="161">
        <f t="shared" si="1"/>
        <v>0</v>
      </c>
      <c r="J35" s="164">
        <f t="shared" si="2"/>
        <v>0</v>
      </c>
      <c r="K35" s="165">
        <f>IF('💸 Debt Tracker'!B27=0,0,MAX(0,1-J35/'💸 Debt Tracker'!B27))</f>
        <v>0</v>
      </c>
      <c r="L35" s="166" t="str">
        <f t="shared" si="3"/>
        <v>🎉 DEBT FREE!</v>
      </c>
    </row>
    <row r="36" spans="2:12" ht="18" customHeight="1" x14ac:dyDescent="0.35">
      <c r="B36" s="167">
        <v>28</v>
      </c>
      <c r="C36" s="168" t="str">
        <f ca="1">TEXT(EDATE(TODAY(),27),"mmm YYYY")</f>
        <v>Sep 2028</v>
      </c>
      <c r="D36" s="169">
        <f t="shared" si="4"/>
        <v>0</v>
      </c>
      <c r="E36" s="169">
        <f>'💸 Debt Tracker'!D27</f>
        <v>0</v>
      </c>
      <c r="F36" s="170">
        <f>'💸 Debt Tracker'!G6</f>
        <v>0</v>
      </c>
      <c r="G36" s="171">
        <f t="shared" si="0"/>
        <v>0</v>
      </c>
      <c r="H36" s="172">
        <f>IF(D36&lt;=0,0,ROUND(D36*('💸 Debt Tracker'!F27/12),2))</f>
        <v>0</v>
      </c>
      <c r="I36" s="170">
        <f t="shared" si="1"/>
        <v>0</v>
      </c>
      <c r="J36" s="173">
        <f t="shared" si="2"/>
        <v>0</v>
      </c>
      <c r="K36" s="174">
        <f>IF('💸 Debt Tracker'!B27=0,0,MAX(0,1-J36/'💸 Debt Tracker'!B27))</f>
        <v>0</v>
      </c>
      <c r="L36" s="175" t="str">
        <f t="shared" si="3"/>
        <v>🎉 DEBT FREE!</v>
      </c>
    </row>
    <row r="37" spans="2:12" ht="18" customHeight="1" x14ac:dyDescent="0.35">
      <c r="B37" s="158">
        <v>29</v>
      </c>
      <c r="C37" s="159" t="str">
        <f ca="1">TEXT(EDATE(TODAY(),28),"mmm YYYY")</f>
        <v>Oct 2028</v>
      </c>
      <c r="D37" s="160">
        <f t="shared" si="4"/>
        <v>0</v>
      </c>
      <c r="E37" s="160">
        <f>'💸 Debt Tracker'!D27</f>
        <v>0</v>
      </c>
      <c r="F37" s="161">
        <f>'💸 Debt Tracker'!G6</f>
        <v>0</v>
      </c>
      <c r="G37" s="162">
        <f t="shared" si="0"/>
        <v>0</v>
      </c>
      <c r="H37" s="163">
        <f>IF(D37&lt;=0,0,ROUND(D37*('💸 Debt Tracker'!F27/12),2))</f>
        <v>0</v>
      </c>
      <c r="I37" s="161">
        <f t="shared" si="1"/>
        <v>0</v>
      </c>
      <c r="J37" s="164">
        <f t="shared" si="2"/>
        <v>0</v>
      </c>
      <c r="K37" s="165">
        <f>IF('💸 Debt Tracker'!B27=0,0,MAX(0,1-J37/'💸 Debt Tracker'!B27))</f>
        <v>0</v>
      </c>
      <c r="L37" s="166" t="str">
        <f t="shared" si="3"/>
        <v>🎉 DEBT FREE!</v>
      </c>
    </row>
    <row r="38" spans="2:12" ht="18" customHeight="1" x14ac:dyDescent="0.35">
      <c r="B38" s="167">
        <v>30</v>
      </c>
      <c r="C38" s="168" t="str">
        <f ca="1">TEXT(EDATE(TODAY(),29),"mmm YYYY")</f>
        <v>Nov 2028</v>
      </c>
      <c r="D38" s="169">
        <f t="shared" si="4"/>
        <v>0</v>
      </c>
      <c r="E38" s="169">
        <f>'💸 Debt Tracker'!D27</f>
        <v>0</v>
      </c>
      <c r="F38" s="170">
        <f>'💸 Debt Tracker'!G6</f>
        <v>0</v>
      </c>
      <c r="G38" s="171">
        <f t="shared" si="0"/>
        <v>0</v>
      </c>
      <c r="H38" s="172">
        <f>IF(D38&lt;=0,0,ROUND(D38*('💸 Debt Tracker'!F27/12),2))</f>
        <v>0</v>
      </c>
      <c r="I38" s="170">
        <f t="shared" si="1"/>
        <v>0</v>
      </c>
      <c r="J38" s="173">
        <f t="shared" si="2"/>
        <v>0</v>
      </c>
      <c r="K38" s="174">
        <f>IF('💸 Debt Tracker'!B27=0,0,MAX(0,1-J38/'💸 Debt Tracker'!B27))</f>
        <v>0</v>
      </c>
      <c r="L38" s="175" t="str">
        <f t="shared" si="3"/>
        <v>🎉 DEBT FREE!</v>
      </c>
    </row>
    <row r="39" spans="2:12" ht="18" customHeight="1" x14ac:dyDescent="0.35">
      <c r="B39" s="158">
        <v>31</v>
      </c>
      <c r="C39" s="159" t="str">
        <f ca="1">TEXT(EDATE(TODAY(),30),"mmm YYYY")</f>
        <v>Dec 2028</v>
      </c>
      <c r="D39" s="160">
        <f t="shared" si="4"/>
        <v>0</v>
      </c>
      <c r="E39" s="160">
        <f>'💸 Debt Tracker'!D27</f>
        <v>0</v>
      </c>
      <c r="F39" s="161">
        <f>'💸 Debt Tracker'!G6</f>
        <v>0</v>
      </c>
      <c r="G39" s="162">
        <f t="shared" si="0"/>
        <v>0</v>
      </c>
      <c r="H39" s="163">
        <f>IF(D39&lt;=0,0,ROUND(D39*('💸 Debt Tracker'!F27/12),2))</f>
        <v>0</v>
      </c>
      <c r="I39" s="161">
        <f t="shared" si="1"/>
        <v>0</v>
      </c>
      <c r="J39" s="164">
        <f t="shared" si="2"/>
        <v>0</v>
      </c>
      <c r="K39" s="165">
        <f>IF('💸 Debt Tracker'!B27=0,0,MAX(0,1-J39/'💸 Debt Tracker'!B27))</f>
        <v>0</v>
      </c>
      <c r="L39" s="166" t="str">
        <f t="shared" si="3"/>
        <v>🎉 DEBT FREE!</v>
      </c>
    </row>
    <row r="40" spans="2:12" ht="18" customHeight="1" x14ac:dyDescent="0.35">
      <c r="B40" s="167">
        <v>32</v>
      </c>
      <c r="C40" s="168" t="str">
        <f ca="1">TEXT(EDATE(TODAY(),31),"mmm YYYY")</f>
        <v>Jan 2029</v>
      </c>
      <c r="D40" s="169">
        <f t="shared" si="4"/>
        <v>0</v>
      </c>
      <c r="E40" s="169">
        <f>'💸 Debt Tracker'!D27</f>
        <v>0</v>
      </c>
      <c r="F40" s="170">
        <f>'💸 Debt Tracker'!G6</f>
        <v>0</v>
      </c>
      <c r="G40" s="171">
        <f t="shared" si="0"/>
        <v>0</v>
      </c>
      <c r="H40" s="172">
        <f>IF(D40&lt;=0,0,ROUND(D40*('💸 Debt Tracker'!F27/12),2))</f>
        <v>0</v>
      </c>
      <c r="I40" s="170">
        <f t="shared" si="1"/>
        <v>0</v>
      </c>
      <c r="J40" s="173">
        <f t="shared" si="2"/>
        <v>0</v>
      </c>
      <c r="K40" s="174">
        <f>IF('💸 Debt Tracker'!B27=0,0,MAX(0,1-J40/'💸 Debt Tracker'!B27))</f>
        <v>0</v>
      </c>
      <c r="L40" s="175" t="str">
        <f t="shared" si="3"/>
        <v>🎉 DEBT FREE!</v>
      </c>
    </row>
    <row r="41" spans="2:12" ht="18" customHeight="1" x14ac:dyDescent="0.35">
      <c r="B41" s="158">
        <v>33</v>
      </c>
      <c r="C41" s="159" t="str">
        <f ca="1">TEXT(EDATE(TODAY(),32),"mmm YYYY")</f>
        <v>Feb 2029</v>
      </c>
      <c r="D41" s="160">
        <f t="shared" si="4"/>
        <v>0</v>
      </c>
      <c r="E41" s="160">
        <f>'💸 Debt Tracker'!D27</f>
        <v>0</v>
      </c>
      <c r="F41" s="161">
        <f>'💸 Debt Tracker'!G6</f>
        <v>0</v>
      </c>
      <c r="G41" s="162">
        <f t="shared" ref="G41:G72" si="5">IF(D41&lt;=0,0,MIN(E41+F41,D41))</f>
        <v>0</v>
      </c>
      <c r="H41" s="163">
        <f>IF(D41&lt;=0,0,ROUND(D41*('💸 Debt Tracker'!F27/12),2))</f>
        <v>0</v>
      </c>
      <c r="I41" s="161">
        <f t="shared" ref="I41:I72" si="6">IF(D41&lt;=0,0,MAX(0,G41-H41))</f>
        <v>0</v>
      </c>
      <c r="J41" s="164">
        <f t="shared" ref="J41:J72" si="7">IF(D41&lt;=0,0,MAX(0,D41-I41))</f>
        <v>0</v>
      </c>
      <c r="K41" s="165">
        <f>IF('💸 Debt Tracker'!B27=0,0,MAX(0,1-J41/'💸 Debt Tracker'!B27))</f>
        <v>0</v>
      </c>
      <c r="L41" s="166" t="str">
        <f t="shared" ref="L41:L72" si="8">IF(J41&lt;=0,"🎉 DEBT FREE!",IF(K41&gt;=0.75,"75% — keep pushing!",IF(K41&gt;=0.5,"Halfway — momentum!",IF(K41&gt;=0.25,"25% done — great start!",""))))</f>
        <v>🎉 DEBT FREE!</v>
      </c>
    </row>
    <row r="42" spans="2:12" ht="18" customHeight="1" x14ac:dyDescent="0.35">
      <c r="B42" s="167">
        <v>34</v>
      </c>
      <c r="C42" s="168" t="str">
        <f ca="1">TEXT(EDATE(TODAY(),33),"mmm YYYY")</f>
        <v>Mar 2029</v>
      </c>
      <c r="D42" s="169">
        <f t="shared" ref="D42:D68" si="9">IF(J41&lt;=0,0,J41)</f>
        <v>0</v>
      </c>
      <c r="E42" s="169">
        <f>'💸 Debt Tracker'!D27</f>
        <v>0</v>
      </c>
      <c r="F42" s="170">
        <f>'💸 Debt Tracker'!G6</f>
        <v>0</v>
      </c>
      <c r="G42" s="171">
        <f t="shared" si="5"/>
        <v>0</v>
      </c>
      <c r="H42" s="172">
        <f>IF(D42&lt;=0,0,ROUND(D42*('💸 Debt Tracker'!F27/12),2))</f>
        <v>0</v>
      </c>
      <c r="I42" s="170">
        <f t="shared" si="6"/>
        <v>0</v>
      </c>
      <c r="J42" s="173">
        <f t="shared" si="7"/>
        <v>0</v>
      </c>
      <c r="K42" s="174">
        <f>IF('💸 Debt Tracker'!B27=0,0,MAX(0,1-J42/'💸 Debt Tracker'!B27))</f>
        <v>0</v>
      </c>
      <c r="L42" s="175" t="str">
        <f t="shared" si="8"/>
        <v>🎉 DEBT FREE!</v>
      </c>
    </row>
    <row r="43" spans="2:12" ht="18" customHeight="1" x14ac:dyDescent="0.35">
      <c r="B43" s="158">
        <v>35</v>
      </c>
      <c r="C43" s="159" t="str">
        <f ca="1">TEXT(EDATE(TODAY(),34),"mmm YYYY")</f>
        <v>Apr 2029</v>
      </c>
      <c r="D43" s="160">
        <f t="shared" si="9"/>
        <v>0</v>
      </c>
      <c r="E43" s="160">
        <f>'💸 Debt Tracker'!D27</f>
        <v>0</v>
      </c>
      <c r="F43" s="161">
        <f>'💸 Debt Tracker'!G6</f>
        <v>0</v>
      </c>
      <c r="G43" s="162">
        <f t="shared" si="5"/>
        <v>0</v>
      </c>
      <c r="H43" s="163">
        <f>IF(D43&lt;=0,0,ROUND(D43*('💸 Debt Tracker'!F27/12),2))</f>
        <v>0</v>
      </c>
      <c r="I43" s="161">
        <f t="shared" si="6"/>
        <v>0</v>
      </c>
      <c r="J43" s="164">
        <f t="shared" si="7"/>
        <v>0</v>
      </c>
      <c r="K43" s="165">
        <f>IF('💸 Debt Tracker'!B27=0,0,MAX(0,1-J43/'💸 Debt Tracker'!B27))</f>
        <v>0</v>
      </c>
      <c r="L43" s="166" t="str">
        <f t="shared" si="8"/>
        <v>🎉 DEBT FREE!</v>
      </c>
    </row>
    <row r="44" spans="2:12" ht="18" customHeight="1" x14ac:dyDescent="0.35">
      <c r="B44" s="167">
        <v>36</v>
      </c>
      <c r="C44" s="168" t="str">
        <f ca="1">TEXT(EDATE(TODAY(),35),"mmm YYYY")</f>
        <v>May 2029</v>
      </c>
      <c r="D44" s="169">
        <f t="shared" si="9"/>
        <v>0</v>
      </c>
      <c r="E44" s="169">
        <f>'💸 Debt Tracker'!D27</f>
        <v>0</v>
      </c>
      <c r="F44" s="170">
        <f>'💸 Debt Tracker'!G6</f>
        <v>0</v>
      </c>
      <c r="G44" s="171">
        <f t="shared" si="5"/>
        <v>0</v>
      </c>
      <c r="H44" s="172">
        <f>IF(D44&lt;=0,0,ROUND(D44*('💸 Debt Tracker'!F27/12),2))</f>
        <v>0</v>
      </c>
      <c r="I44" s="170">
        <f t="shared" si="6"/>
        <v>0</v>
      </c>
      <c r="J44" s="173">
        <f t="shared" si="7"/>
        <v>0</v>
      </c>
      <c r="K44" s="174">
        <f>IF('💸 Debt Tracker'!B27=0,0,MAX(0,1-J44/'💸 Debt Tracker'!B27))</f>
        <v>0</v>
      </c>
      <c r="L44" s="175" t="str">
        <f t="shared" si="8"/>
        <v>🎉 DEBT FREE!</v>
      </c>
    </row>
    <row r="45" spans="2:12" ht="18" customHeight="1" x14ac:dyDescent="0.35">
      <c r="B45" s="158">
        <v>37</v>
      </c>
      <c r="C45" s="159" t="str">
        <f ca="1">TEXT(EDATE(TODAY(),36),"mmm YYYY")</f>
        <v>Jun 2029</v>
      </c>
      <c r="D45" s="160">
        <f t="shared" si="9"/>
        <v>0</v>
      </c>
      <c r="E45" s="160">
        <f>'💸 Debt Tracker'!D27</f>
        <v>0</v>
      </c>
      <c r="F45" s="161">
        <f>'💸 Debt Tracker'!G6</f>
        <v>0</v>
      </c>
      <c r="G45" s="162">
        <f t="shared" si="5"/>
        <v>0</v>
      </c>
      <c r="H45" s="163">
        <f>IF(D45&lt;=0,0,ROUND(D45*('💸 Debt Tracker'!F27/12),2))</f>
        <v>0</v>
      </c>
      <c r="I45" s="161">
        <f t="shared" si="6"/>
        <v>0</v>
      </c>
      <c r="J45" s="164">
        <f t="shared" si="7"/>
        <v>0</v>
      </c>
      <c r="K45" s="165">
        <f>IF('💸 Debt Tracker'!B27=0,0,MAX(0,1-J45/'💸 Debt Tracker'!B27))</f>
        <v>0</v>
      </c>
      <c r="L45" s="166" t="str">
        <f t="shared" si="8"/>
        <v>🎉 DEBT FREE!</v>
      </c>
    </row>
    <row r="46" spans="2:12" ht="18" customHeight="1" x14ac:dyDescent="0.35">
      <c r="B46" s="167">
        <v>38</v>
      </c>
      <c r="C46" s="168" t="str">
        <f ca="1">TEXT(EDATE(TODAY(),37),"mmm YYYY")</f>
        <v>Jul 2029</v>
      </c>
      <c r="D46" s="169">
        <f t="shared" si="9"/>
        <v>0</v>
      </c>
      <c r="E46" s="169">
        <f>'💸 Debt Tracker'!D27</f>
        <v>0</v>
      </c>
      <c r="F46" s="170">
        <f>'💸 Debt Tracker'!G6</f>
        <v>0</v>
      </c>
      <c r="G46" s="171">
        <f t="shared" si="5"/>
        <v>0</v>
      </c>
      <c r="H46" s="172">
        <f>IF(D46&lt;=0,0,ROUND(D46*('💸 Debt Tracker'!F27/12),2))</f>
        <v>0</v>
      </c>
      <c r="I46" s="170">
        <f t="shared" si="6"/>
        <v>0</v>
      </c>
      <c r="J46" s="173">
        <f t="shared" si="7"/>
        <v>0</v>
      </c>
      <c r="K46" s="174">
        <f>IF('💸 Debt Tracker'!B27=0,0,MAX(0,1-J46/'💸 Debt Tracker'!B27))</f>
        <v>0</v>
      </c>
      <c r="L46" s="175" t="str">
        <f t="shared" si="8"/>
        <v>🎉 DEBT FREE!</v>
      </c>
    </row>
    <row r="47" spans="2:12" ht="18" customHeight="1" x14ac:dyDescent="0.35">
      <c r="B47" s="158">
        <v>39</v>
      </c>
      <c r="C47" s="159" t="str">
        <f ca="1">TEXT(EDATE(TODAY(),38),"mmm YYYY")</f>
        <v>Aug 2029</v>
      </c>
      <c r="D47" s="160">
        <f t="shared" si="9"/>
        <v>0</v>
      </c>
      <c r="E47" s="160">
        <f>'💸 Debt Tracker'!D27</f>
        <v>0</v>
      </c>
      <c r="F47" s="161">
        <f>'💸 Debt Tracker'!G6</f>
        <v>0</v>
      </c>
      <c r="G47" s="162">
        <f t="shared" si="5"/>
        <v>0</v>
      </c>
      <c r="H47" s="163">
        <f>IF(D47&lt;=0,0,ROUND(D47*('💸 Debt Tracker'!F27/12),2))</f>
        <v>0</v>
      </c>
      <c r="I47" s="161">
        <f t="shared" si="6"/>
        <v>0</v>
      </c>
      <c r="J47" s="164">
        <f t="shared" si="7"/>
        <v>0</v>
      </c>
      <c r="K47" s="165">
        <f>IF('💸 Debt Tracker'!B27=0,0,MAX(0,1-J47/'💸 Debt Tracker'!B27))</f>
        <v>0</v>
      </c>
      <c r="L47" s="166" t="str">
        <f t="shared" si="8"/>
        <v>🎉 DEBT FREE!</v>
      </c>
    </row>
    <row r="48" spans="2:12" ht="18" customHeight="1" x14ac:dyDescent="0.35">
      <c r="B48" s="167">
        <v>40</v>
      </c>
      <c r="C48" s="168" t="str">
        <f ca="1">TEXT(EDATE(TODAY(),39),"mmm YYYY")</f>
        <v>Sep 2029</v>
      </c>
      <c r="D48" s="169">
        <f t="shared" si="9"/>
        <v>0</v>
      </c>
      <c r="E48" s="169">
        <f>'💸 Debt Tracker'!D27</f>
        <v>0</v>
      </c>
      <c r="F48" s="170">
        <f>'💸 Debt Tracker'!G6</f>
        <v>0</v>
      </c>
      <c r="G48" s="171">
        <f t="shared" si="5"/>
        <v>0</v>
      </c>
      <c r="H48" s="172">
        <f>IF(D48&lt;=0,0,ROUND(D48*('💸 Debt Tracker'!F27/12),2))</f>
        <v>0</v>
      </c>
      <c r="I48" s="170">
        <f t="shared" si="6"/>
        <v>0</v>
      </c>
      <c r="J48" s="173">
        <f t="shared" si="7"/>
        <v>0</v>
      </c>
      <c r="K48" s="174">
        <f>IF('💸 Debt Tracker'!B27=0,0,MAX(0,1-J48/'💸 Debt Tracker'!B27))</f>
        <v>0</v>
      </c>
      <c r="L48" s="175" t="str">
        <f t="shared" si="8"/>
        <v>🎉 DEBT FREE!</v>
      </c>
    </row>
    <row r="49" spans="2:12" ht="18" customHeight="1" x14ac:dyDescent="0.35">
      <c r="B49" s="158">
        <v>41</v>
      </c>
      <c r="C49" s="159" t="str">
        <f ca="1">TEXT(EDATE(TODAY(),40),"mmm YYYY")</f>
        <v>Oct 2029</v>
      </c>
      <c r="D49" s="160">
        <f t="shared" si="9"/>
        <v>0</v>
      </c>
      <c r="E49" s="160">
        <f>'💸 Debt Tracker'!D27</f>
        <v>0</v>
      </c>
      <c r="F49" s="161">
        <f>'💸 Debt Tracker'!G6</f>
        <v>0</v>
      </c>
      <c r="G49" s="162">
        <f t="shared" si="5"/>
        <v>0</v>
      </c>
      <c r="H49" s="163">
        <f>IF(D49&lt;=0,0,ROUND(D49*('💸 Debt Tracker'!F27/12),2))</f>
        <v>0</v>
      </c>
      <c r="I49" s="161">
        <f t="shared" si="6"/>
        <v>0</v>
      </c>
      <c r="J49" s="164">
        <f t="shared" si="7"/>
        <v>0</v>
      </c>
      <c r="K49" s="165">
        <f>IF('💸 Debt Tracker'!B27=0,0,MAX(0,1-J49/'💸 Debt Tracker'!B27))</f>
        <v>0</v>
      </c>
      <c r="L49" s="166" t="str">
        <f t="shared" si="8"/>
        <v>🎉 DEBT FREE!</v>
      </c>
    </row>
    <row r="50" spans="2:12" ht="18" customHeight="1" x14ac:dyDescent="0.35">
      <c r="B50" s="167">
        <v>42</v>
      </c>
      <c r="C50" s="168" t="str">
        <f ca="1">TEXT(EDATE(TODAY(),41),"mmm YYYY")</f>
        <v>Nov 2029</v>
      </c>
      <c r="D50" s="169">
        <f t="shared" si="9"/>
        <v>0</v>
      </c>
      <c r="E50" s="169">
        <f>'💸 Debt Tracker'!D27</f>
        <v>0</v>
      </c>
      <c r="F50" s="170">
        <f>'💸 Debt Tracker'!G6</f>
        <v>0</v>
      </c>
      <c r="G50" s="171">
        <f t="shared" si="5"/>
        <v>0</v>
      </c>
      <c r="H50" s="172">
        <f>IF(D50&lt;=0,0,ROUND(D50*('💸 Debt Tracker'!F27/12),2))</f>
        <v>0</v>
      </c>
      <c r="I50" s="170">
        <f t="shared" si="6"/>
        <v>0</v>
      </c>
      <c r="J50" s="173">
        <f t="shared" si="7"/>
        <v>0</v>
      </c>
      <c r="K50" s="174">
        <f>IF('💸 Debt Tracker'!B27=0,0,MAX(0,1-J50/'💸 Debt Tracker'!B27))</f>
        <v>0</v>
      </c>
      <c r="L50" s="175" t="str">
        <f t="shared" si="8"/>
        <v>🎉 DEBT FREE!</v>
      </c>
    </row>
    <row r="51" spans="2:12" ht="18" customHeight="1" x14ac:dyDescent="0.35">
      <c r="B51" s="158">
        <v>43</v>
      </c>
      <c r="C51" s="159" t="str">
        <f ca="1">TEXT(EDATE(TODAY(),42),"mmm YYYY")</f>
        <v>Dec 2029</v>
      </c>
      <c r="D51" s="160">
        <f t="shared" si="9"/>
        <v>0</v>
      </c>
      <c r="E51" s="160">
        <f>'💸 Debt Tracker'!D27</f>
        <v>0</v>
      </c>
      <c r="F51" s="161">
        <f>'💸 Debt Tracker'!G6</f>
        <v>0</v>
      </c>
      <c r="G51" s="162">
        <f t="shared" si="5"/>
        <v>0</v>
      </c>
      <c r="H51" s="163">
        <f>IF(D51&lt;=0,0,ROUND(D51*('💸 Debt Tracker'!F27/12),2))</f>
        <v>0</v>
      </c>
      <c r="I51" s="161">
        <f t="shared" si="6"/>
        <v>0</v>
      </c>
      <c r="J51" s="164">
        <f t="shared" si="7"/>
        <v>0</v>
      </c>
      <c r="K51" s="165">
        <f>IF('💸 Debt Tracker'!B27=0,0,MAX(0,1-J51/'💸 Debt Tracker'!B27))</f>
        <v>0</v>
      </c>
      <c r="L51" s="166" t="str">
        <f t="shared" si="8"/>
        <v>🎉 DEBT FREE!</v>
      </c>
    </row>
    <row r="52" spans="2:12" ht="18" customHeight="1" x14ac:dyDescent="0.35">
      <c r="B52" s="167">
        <v>44</v>
      </c>
      <c r="C52" s="168" t="str">
        <f ca="1">TEXT(EDATE(TODAY(),43),"mmm YYYY")</f>
        <v>Jan 2030</v>
      </c>
      <c r="D52" s="169">
        <f t="shared" si="9"/>
        <v>0</v>
      </c>
      <c r="E52" s="169">
        <f>'💸 Debt Tracker'!D27</f>
        <v>0</v>
      </c>
      <c r="F52" s="170">
        <f>'💸 Debt Tracker'!G6</f>
        <v>0</v>
      </c>
      <c r="G52" s="171">
        <f t="shared" si="5"/>
        <v>0</v>
      </c>
      <c r="H52" s="172">
        <f>IF(D52&lt;=0,0,ROUND(D52*('💸 Debt Tracker'!F27/12),2))</f>
        <v>0</v>
      </c>
      <c r="I52" s="170">
        <f t="shared" si="6"/>
        <v>0</v>
      </c>
      <c r="J52" s="173">
        <f t="shared" si="7"/>
        <v>0</v>
      </c>
      <c r="K52" s="174">
        <f>IF('💸 Debt Tracker'!B27=0,0,MAX(0,1-J52/'💸 Debt Tracker'!B27))</f>
        <v>0</v>
      </c>
      <c r="L52" s="175" t="str">
        <f t="shared" si="8"/>
        <v>🎉 DEBT FREE!</v>
      </c>
    </row>
    <row r="53" spans="2:12" ht="18" customHeight="1" x14ac:dyDescent="0.35">
      <c r="B53" s="158">
        <v>45</v>
      </c>
      <c r="C53" s="159" t="str">
        <f ca="1">TEXT(EDATE(TODAY(),44),"mmm YYYY")</f>
        <v>Feb 2030</v>
      </c>
      <c r="D53" s="160">
        <f t="shared" si="9"/>
        <v>0</v>
      </c>
      <c r="E53" s="160">
        <f>'💸 Debt Tracker'!D27</f>
        <v>0</v>
      </c>
      <c r="F53" s="161">
        <f>'💸 Debt Tracker'!G6</f>
        <v>0</v>
      </c>
      <c r="G53" s="162">
        <f t="shared" si="5"/>
        <v>0</v>
      </c>
      <c r="H53" s="163">
        <f>IF(D53&lt;=0,0,ROUND(D53*('💸 Debt Tracker'!F27/12),2))</f>
        <v>0</v>
      </c>
      <c r="I53" s="161">
        <f t="shared" si="6"/>
        <v>0</v>
      </c>
      <c r="J53" s="164">
        <f t="shared" si="7"/>
        <v>0</v>
      </c>
      <c r="K53" s="165">
        <f>IF('💸 Debt Tracker'!B27=0,0,MAX(0,1-J53/'💸 Debt Tracker'!B27))</f>
        <v>0</v>
      </c>
      <c r="L53" s="166" t="str">
        <f t="shared" si="8"/>
        <v>🎉 DEBT FREE!</v>
      </c>
    </row>
    <row r="54" spans="2:12" ht="18" customHeight="1" x14ac:dyDescent="0.35">
      <c r="B54" s="167">
        <v>46</v>
      </c>
      <c r="C54" s="168" t="str">
        <f ca="1">TEXT(EDATE(TODAY(),45),"mmm YYYY")</f>
        <v>Mar 2030</v>
      </c>
      <c r="D54" s="169">
        <f t="shared" si="9"/>
        <v>0</v>
      </c>
      <c r="E54" s="169">
        <f>'💸 Debt Tracker'!D27</f>
        <v>0</v>
      </c>
      <c r="F54" s="170">
        <f>'💸 Debt Tracker'!G6</f>
        <v>0</v>
      </c>
      <c r="G54" s="171">
        <f t="shared" si="5"/>
        <v>0</v>
      </c>
      <c r="H54" s="172">
        <f>IF(D54&lt;=0,0,ROUND(D54*('💸 Debt Tracker'!F27/12),2))</f>
        <v>0</v>
      </c>
      <c r="I54" s="170">
        <f t="shared" si="6"/>
        <v>0</v>
      </c>
      <c r="J54" s="173">
        <f t="shared" si="7"/>
        <v>0</v>
      </c>
      <c r="K54" s="174">
        <f>IF('💸 Debt Tracker'!B27=0,0,MAX(0,1-J54/'💸 Debt Tracker'!B27))</f>
        <v>0</v>
      </c>
      <c r="L54" s="175" t="str">
        <f t="shared" si="8"/>
        <v>🎉 DEBT FREE!</v>
      </c>
    </row>
    <row r="55" spans="2:12" ht="18" customHeight="1" x14ac:dyDescent="0.35">
      <c r="B55" s="158">
        <v>47</v>
      </c>
      <c r="C55" s="159" t="str">
        <f ca="1">TEXT(EDATE(TODAY(),46),"mmm YYYY")</f>
        <v>Apr 2030</v>
      </c>
      <c r="D55" s="160">
        <f t="shared" si="9"/>
        <v>0</v>
      </c>
      <c r="E55" s="160">
        <f>'💸 Debt Tracker'!D27</f>
        <v>0</v>
      </c>
      <c r="F55" s="161">
        <f>'💸 Debt Tracker'!G6</f>
        <v>0</v>
      </c>
      <c r="G55" s="162">
        <f t="shared" si="5"/>
        <v>0</v>
      </c>
      <c r="H55" s="163">
        <f>IF(D55&lt;=0,0,ROUND(D55*('💸 Debt Tracker'!F27/12),2))</f>
        <v>0</v>
      </c>
      <c r="I55" s="161">
        <f t="shared" si="6"/>
        <v>0</v>
      </c>
      <c r="J55" s="164">
        <f t="shared" si="7"/>
        <v>0</v>
      </c>
      <c r="K55" s="165">
        <f>IF('💸 Debt Tracker'!B27=0,0,MAX(0,1-J55/'💸 Debt Tracker'!B27))</f>
        <v>0</v>
      </c>
      <c r="L55" s="166" t="str">
        <f t="shared" si="8"/>
        <v>🎉 DEBT FREE!</v>
      </c>
    </row>
    <row r="56" spans="2:12" ht="18" customHeight="1" x14ac:dyDescent="0.35">
      <c r="B56" s="167">
        <v>48</v>
      </c>
      <c r="C56" s="168" t="str">
        <f ca="1">TEXT(EDATE(TODAY(),47),"mmm YYYY")</f>
        <v>May 2030</v>
      </c>
      <c r="D56" s="169">
        <f t="shared" si="9"/>
        <v>0</v>
      </c>
      <c r="E56" s="169">
        <f>'💸 Debt Tracker'!D27</f>
        <v>0</v>
      </c>
      <c r="F56" s="170">
        <f>'💸 Debt Tracker'!G6</f>
        <v>0</v>
      </c>
      <c r="G56" s="171">
        <f t="shared" si="5"/>
        <v>0</v>
      </c>
      <c r="H56" s="172">
        <f>IF(D56&lt;=0,0,ROUND(D56*('💸 Debt Tracker'!F27/12),2))</f>
        <v>0</v>
      </c>
      <c r="I56" s="170">
        <f t="shared" si="6"/>
        <v>0</v>
      </c>
      <c r="J56" s="173">
        <f t="shared" si="7"/>
        <v>0</v>
      </c>
      <c r="K56" s="174">
        <f>IF('💸 Debt Tracker'!B27=0,0,MAX(0,1-J56/'💸 Debt Tracker'!B27))</f>
        <v>0</v>
      </c>
      <c r="L56" s="175" t="str">
        <f t="shared" si="8"/>
        <v>🎉 DEBT FREE!</v>
      </c>
    </row>
    <row r="57" spans="2:12" ht="18" customHeight="1" x14ac:dyDescent="0.35">
      <c r="B57" s="158">
        <v>49</v>
      </c>
      <c r="C57" s="159" t="str">
        <f ca="1">TEXT(EDATE(TODAY(),48),"mmm YYYY")</f>
        <v>Jun 2030</v>
      </c>
      <c r="D57" s="160">
        <f t="shared" si="9"/>
        <v>0</v>
      </c>
      <c r="E57" s="160">
        <f>'💸 Debt Tracker'!D27</f>
        <v>0</v>
      </c>
      <c r="F57" s="161">
        <f>'💸 Debt Tracker'!G6</f>
        <v>0</v>
      </c>
      <c r="G57" s="162">
        <f t="shared" si="5"/>
        <v>0</v>
      </c>
      <c r="H57" s="163">
        <f>IF(D57&lt;=0,0,ROUND(D57*('💸 Debt Tracker'!F27/12),2))</f>
        <v>0</v>
      </c>
      <c r="I57" s="161">
        <f t="shared" si="6"/>
        <v>0</v>
      </c>
      <c r="J57" s="164">
        <f t="shared" si="7"/>
        <v>0</v>
      </c>
      <c r="K57" s="165">
        <f>IF('💸 Debt Tracker'!B27=0,0,MAX(0,1-J57/'💸 Debt Tracker'!B27))</f>
        <v>0</v>
      </c>
      <c r="L57" s="166" t="str">
        <f t="shared" si="8"/>
        <v>🎉 DEBT FREE!</v>
      </c>
    </row>
    <row r="58" spans="2:12" ht="18" customHeight="1" x14ac:dyDescent="0.35">
      <c r="B58" s="167">
        <v>50</v>
      </c>
      <c r="C58" s="168" t="str">
        <f ca="1">TEXT(EDATE(TODAY(),49),"mmm YYYY")</f>
        <v>Jul 2030</v>
      </c>
      <c r="D58" s="169">
        <f t="shared" si="9"/>
        <v>0</v>
      </c>
      <c r="E58" s="169">
        <f>'💸 Debt Tracker'!D27</f>
        <v>0</v>
      </c>
      <c r="F58" s="170">
        <f>'💸 Debt Tracker'!G6</f>
        <v>0</v>
      </c>
      <c r="G58" s="171">
        <f t="shared" si="5"/>
        <v>0</v>
      </c>
      <c r="H58" s="172">
        <f>IF(D58&lt;=0,0,ROUND(D58*('💸 Debt Tracker'!F27/12),2))</f>
        <v>0</v>
      </c>
      <c r="I58" s="170">
        <f t="shared" si="6"/>
        <v>0</v>
      </c>
      <c r="J58" s="173">
        <f t="shared" si="7"/>
        <v>0</v>
      </c>
      <c r="K58" s="174">
        <f>IF('💸 Debt Tracker'!B27=0,0,MAX(0,1-J58/'💸 Debt Tracker'!B27))</f>
        <v>0</v>
      </c>
      <c r="L58" s="175" t="str">
        <f t="shared" si="8"/>
        <v>🎉 DEBT FREE!</v>
      </c>
    </row>
    <row r="59" spans="2:12" ht="18" customHeight="1" x14ac:dyDescent="0.35">
      <c r="B59" s="158">
        <v>51</v>
      </c>
      <c r="C59" s="159" t="str">
        <f ca="1">TEXT(EDATE(TODAY(),50),"mmm YYYY")</f>
        <v>Aug 2030</v>
      </c>
      <c r="D59" s="160">
        <f t="shared" si="9"/>
        <v>0</v>
      </c>
      <c r="E59" s="160">
        <f>'💸 Debt Tracker'!D27</f>
        <v>0</v>
      </c>
      <c r="F59" s="161">
        <f>'💸 Debt Tracker'!G6</f>
        <v>0</v>
      </c>
      <c r="G59" s="162">
        <f t="shared" si="5"/>
        <v>0</v>
      </c>
      <c r="H59" s="163">
        <f>IF(D59&lt;=0,0,ROUND(D59*('💸 Debt Tracker'!F27/12),2))</f>
        <v>0</v>
      </c>
      <c r="I59" s="161">
        <f t="shared" si="6"/>
        <v>0</v>
      </c>
      <c r="J59" s="164">
        <f t="shared" si="7"/>
        <v>0</v>
      </c>
      <c r="K59" s="165">
        <f>IF('💸 Debt Tracker'!B27=0,0,MAX(0,1-J59/'💸 Debt Tracker'!B27))</f>
        <v>0</v>
      </c>
      <c r="L59" s="166" t="str">
        <f t="shared" si="8"/>
        <v>🎉 DEBT FREE!</v>
      </c>
    </row>
    <row r="60" spans="2:12" ht="18" customHeight="1" x14ac:dyDescent="0.35">
      <c r="B60" s="167">
        <v>52</v>
      </c>
      <c r="C60" s="168" t="str">
        <f ca="1">TEXT(EDATE(TODAY(),51),"mmm YYYY")</f>
        <v>Sep 2030</v>
      </c>
      <c r="D60" s="169">
        <f t="shared" si="9"/>
        <v>0</v>
      </c>
      <c r="E60" s="169">
        <f>'💸 Debt Tracker'!D27</f>
        <v>0</v>
      </c>
      <c r="F60" s="170">
        <f>'💸 Debt Tracker'!G6</f>
        <v>0</v>
      </c>
      <c r="G60" s="171">
        <f t="shared" si="5"/>
        <v>0</v>
      </c>
      <c r="H60" s="172">
        <f>IF(D60&lt;=0,0,ROUND(D60*('💸 Debt Tracker'!F27/12),2))</f>
        <v>0</v>
      </c>
      <c r="I60" s="170">
        <f t="shared" si="6"/>
        <v>0</v>
      </c>
      <c r="J60" s="173">
        <f t="shared" si="7"/>
        <v>0</v>
      </c>
      <c r="K60" s="174">
        <f>IF('💸 Debt Tracker'!B27=0,0,MAX(0,1-J60/'💸 Debt Tracker'!B27))</f>
        <v>0</v>
      </c>
      <c r="L60" s="175" t="str">
        <f t="shared" si="8"/>
        <v>🎉 DEBT FREE!</v>
      </c>
    </row>
    <row r="61" spans="2:12" ht="18" customHeight="1" x14ac:dyDescent="0.35">
      <c r="B61" s="158">
        <v>53</v>
      </c>
      <c r="C61" s="159" t="str">
        <f ca="1">TEXT(EDATE(TODAY(),52),"mmm YYYY")</f>
        <v>Oct 2030</v>
      </c>
      <c r="D61" s="160">
        <f t="shared" si="9"/>
        <v>0</v>
      </c>
      <c r="E61" s="160">
        <f>'💸 Debt Tracker'!D27</f>
        <v>0</v>
      </c>
      <c r="F61" s="161">
        <f>'💸 Debt Tracker'!G6</f>
        <v>0</v>
      </c>
      <c r="G61" s="162">
        <f t="shared" si="5"/>
        <v>0</v>
      </c>
      <c r="H61" s="163">
        <f>IF(D61&lt;=0,0,ROUND(D61*('💸 Debt Tracker'!F27/12),2))</f>
        <v>0</v>
      </c>
      <c r="I61" s="161">
        <f t="shared" si="6"/>
        <v>0</v>
      </c>
      <c r="J61" s="164">
        <f t="shared" si="7"/>
        <v>0</v>
      </c>
      <c r="K61" s="165">
        <f>IF('💸 Debt Tracker'!B27=0,0,MAX(0,1-J61/'💸 Debt Tracker'!B27))</f>
        <v>0</v>
      </c>
      <c r="L61" s="166" t="str">
        <f t="shared" si="8"/>
        <v>🎉 DEBT FREE!</v>
      </c>
    </row>
    <row r="62" spans="2:12" ht="18" customHeight="1" x14ac:dyDescent="0.35">
      <c r="B62" s="167">
        <v>54</v>
      </c>
      <c r="C62" s="168" t="str">
        <f ca="1">TEXT(EDATE(TODAY(),53),"mmm YYYY")</f>
        <v>Nov 2030</v>
      </c>
      <c r="D62" s="169">
        <f t="shared" si="9"/>
        <v>0</v>
      </c>
      <c r="E62" s="169">
        <f>'💸 Debt Tracker'!D27</f>
        <v>0</v>
      </c>
      <c r="F62" s="170">
        <f>'💸 Debt Tracker'!G6</f>
        <v>0</v>
      </c>
      <c r="G62" s="171">
        <f t="shared" si="5"/>
        <v>0</v>
      </c>
      <c r="H62" s="172">
        <f>IF(D62&lt;=0,0,ROUND(D62*('💸 Debt Tracker'!F27/12),2))</f>
        <v>0</v>
      </c>
      <c r="I62" s="170">
        <f t="shared" si="6"/>
        <v>0</v>
      </c>
      <c r="J62" s="173">
        <f t="shared" si="7"/>
        <v>0</v>
      </c>
      <c r="K62" s="174">
        <f>IF('💸 Debt Tracker'!B27=0,0,MAX(0,1-J62/'💸 Debt Tracker'!B27))</f>
        <v>0</v>
      </c>
      <c r="L62" s="175" t="str">
        <f t="shared" si="8"/>
        <v>🎉 DEBT FREE!</v>
      </c>
    </row>
    <row r="63" spans="2:12" ht="18" customHeight="1" x14ac:dyDescent="0.35">
      <c r="B63" s="158">
        <v>55</v>
      </c>
      <c r="C63" s="159" t="str">
        <f ca="1">TEXT(EDATE(TODAY(),54),"mmm YYYY")</f>
        <v>Dec 2030</v>
      </c>
      <c r="D63" s="160">
        <f t="shared" si="9"/>
        <v>0</v>
      </c>
      <c r="E63" s="160">
        <f>'💸 Debt Tracker'!D27</f>
        <v>0</v>
      </c>
      <c r="F63" s="161">
        <f>'💸 Debt Tracker'!G6</f>
        <v>0</v>
      </c>
      <c r="G63" s="162">
        <f t="shared" si="5"/>
        <v>0</v>
      </c>
      <c r="H63" s="163">
        <f>IF(D63&lt;=0,0,ROUND(D63*('💸 Debt Tracker'!F27/12),2))</f>
        <v>0</v>
      </c>
      <c r="I63" s="161">
        <f t="shared" si="6"/>
        <v>0</v>
      </c>
      <c r="J63" s="164">
        <f t="shared" si="7"/>
        <v>0</v>
      </c>
      <c r="K63" s="165">
        <f>IF('💸 Debt Tracker'!B27=0,0,MAX(0,1-J63/'💸 Debt Tracker'!B27))</f>
        <v>0</v>
      </c>
      <c r="L63" s="166" t="str">
        <f t="shared" si="8"/>
        <v>🎉 DEBT FREE!</v>
      </c>
    </row>
    <row r="64" spans="2:12" ht="18" customHeight="1" x14ac:dyDescent="0.35">
      <c r="B64" s="167">
        <v>56</v>
      </c>
      <c r="C64" s="168" t="str">
        <f ca="1">TEXT(EDATE(TODAY(),55),"mmm YYYY")</f>
        <v>Jan 2031</v>
      </c>
      <c r="D64" s="169">
        <f t="shared" si="9"/>
        <v>0</v>
      </c>
      <c r="E64" s="169">
        <f>'💸 Debt Tracker'!D27</f>
        <v>0</v>
      </c>
      <c r="F64" s="170">
        <f>'💸 Debt Tracker'!G6</f>
        <v>0</v>
      </c>
      <c r="G64" s="171">
        <f t="shared" si="5"/>
        <v>0</v>
      </c>
      <c r="H64" s="172">
        <f>IF(D64&lt;=0,0,ROUND(D64*('💸 Debt Tracker'!F27/12),2))</f>
        <v>0</v>
      </c>
      <c r="I64" s="170">
        <f t="shared" si="6"/>
        <v>0</v>
      </c>
      <c r="J64" s="173">
        <f t="shared" si="7"/>
        <v>0</v>
      </c>
      <c r="K64" s="174">
        <f>IF('💸 Debt Tracker'!B27=0,0,MAX(0,1-J64/'💸 Debt Tracker'!B27))</f>
        <v>0</v>
      </c>
      <c r="L64" s="175" t="str">
        <f t="shared" si="8"/>
        <v>🎉 DEBT FREE!</v>
      </c>
    </row>
    <row r="65" spans="2:12" ht="18" customHeight="1" x14ac:dyDescent="0.35">
      <c r="B65" s="158">
        <v>57</v>
      </c>
      <c r="C65" s="159" t="str">
        <f ca="1">TEXT(EDATE(TODAY(),56),"mmm YYYY")</f>
        <v>Feb 2031</v>
      </c>
      <c r="D65" s="160">
        <f t="shared" si="9"/>
        <v>0</v>
      </c>
      <c r="E65" s="160">
        <f>'💸 Debt Tracker'!D27</f>
        <v>0</v>
      </c>
      <c r="F65" s="161">
        <f>'💸 Debt Tracker'!G6</f>
        <v>0</v>
      </c>
      <c r="G65" s="162">
        <f t="shared" si="5"/>
        <v>0</v>
      </c>
      <c r="H65" s="163">
        <f>IF(D65&lt;=0,0,ROUND(D65*('💸 Debt Tracker'!F27/12),2))</f>
        <v>0</v>
      </c>
      <c r="I65" s="161">
        <f t="shared" si="6"/>
        <v>0</v>
      </c>
      <c r="J65" s="164">
        <f t="shared" si="7"/>
        <v>0</v>
      </c>
      <c r="K65" s="165">
        <f>IF('💸 Debt Tracker'!B27=0,0,MAX(0,1-J65/'💸 Debt Tracker'!B27))</f>
        <v>0</v>
      </c>
      <c r="L65" s="166" t="str">
        <f t="shared" si="8"/>
        <v>🎉 DEBT FREE!</v>
      </c>
    </row>
    <row r="66" spans="2:12" ht="18" customHeight="1" x14ac:dyDescent="0.35">
      <c r="B66" s="167">
        <v>58</v>
      </c>
      <c r="C66" s="168" t="str">
        <f ca="1">TEXT(EDATE(TODAY(),57),"mmm YYYY")</f>
        <v>Mar 2031</v>
      </c>
      <c r="D66" s="169">
        <f t="shared" si="9"/>
        <v>0</v>
      </c>
      <c r="E66" s="169">
        <f>'💸 Debt Tracker'!D27</f>
        <v>0</v>
      </c>
      <c r="F66" s="170">
        <f>'💸 Debt Tracker'!G6</f>
        <v>0</v>
      </c>
      <c r="G66" s="171">
        <f t="shared" si="5"/>
        <v>0</v>
      </c>
      <c r="H66" s="172">
        <f>IF(D66&lt;=0,0,ROUND(D66*('💸 Debt Tracker'!F27/12),2))</f>
        <v>0</v>
      </c>
      <c r="I66" s="170">
        <f t="shared" si="6"/>
        <v>0</v>
      </c>
      <c r="J66" s="173">
        <f t="shared" si="7"/>
        <v>0</v>
      </c>
      <c r="K66" s="174">
        <f>IF('💸 Debt Tracker'!B27=0,0,MAX(0,1-J66/'💸 Debt Tracker'!B27))</f>
        <v>0</v>
      </c>
      <c r="L66" s="175" t="str">
        <f t="shared" si="8"/>
        <v>🎉 DEBT FREE!</v>
      </c>
    </row>
    <row r="67" spans="2:12" ht="18" customHeight="1" x14ac:dyDescent="0.35">
      <c r="B67" s="158">
        <v>59</v>
      </c>
      <c r="C67" s="159" t="str">
        <f ca="1">TEXT(EDATE(TODAY(),58),"mmm YYYY")</f>
        <v>Apr 2031</v>
      </c>
      <c r="D67" s="160">
        <f t="shared" si="9"/>
        <v>0</v>
      </c>
      <c r="E67" s="160">
        <f>'💸 Debt Tracker'!D27</f>
        <v>0</v>
      </c>
      <c r="F67" s="161">
        <f>'💸 Debt Tracker'!G6</f>
        <v>0</v>
      </c>
      <c r="G67" s="162">
        <f t="shared" si="5"/>
        <v>0</v>
      </c>
      <c r="H67" s="163">
        <f>IF(D67&lt;=0,0,ROUND(D67*('💸 Debt Tracker'!F27/12),2))</f>
        <v>0</v>
      </c>
      <c r="I67" s="161">
        <f t="shared" si="6"/>
        <v>0</v>
      </c>
      <c r="J67" s="164">
        <f t="shared" si="7"/>
        <v>0</v>
      </c>
      <c r="K67" s="165">
        <f>IF('💸 Debt Tracker'!B27=0,0,MAX(0,1-J67/'💸 Debt Tracker'!B27))</f>
        <v>0</v>
      </c>
      <c r="L67" s="166" t="str">
        <f t="shared" si="8"/>
        <v>🎉 DEBT FREE!</v>
      </c>
    </row>
    <row r="68" spans="2:12" ht="18" customHeight="1" x14ac:dyDescent="0.35">
      <c r="B68" s="167">
        <v>60</v>
      </c>
      <c r="C68" s="168" t="str">
        <f ca="1">TEXT(EDATE(TODAY(),59),"mmm YYYY")</f>
        <v>May 2031</v>
      </c>
      <c r="D68" s="169">
        <f t="shared" si="9"/>
        <v>0</v>
      </c>
      <c r="E68" s="169">
        <f>'💸 Debt Tracker'!D27</f>
        <v>0</v>
      </c>
      <c r="F68" s="170">
        <f>'💸 Debt Tracker'!G6</f>
        <v>0</v>
      </c>
      <c r="G68" s="171">
        <f t="shared" si="5"/>
        <v>0</v>
      </c>
      <c r="H68" s="172">
        <f>IF(D68&lt;=0,0,ROUND(D68*('💸 Debt Tracker'!F27/12),2))</f>
        <v>0</v>
      </c>
      <c r="I68" s="170">
        <f t="shared" si="6"/>
        <v>0</v>
      </c>
      <c r="J68" s="173">
        <f t="shared" si="7"/>
        <v>0</v>
      </c>
      <c r="K68" s="174">
        <f>IF('💸 Debt Tracker'!B27=0,0,MAX(0,1-J68/'💸 Debt Tracker'!B27))</f>
        <v>0</v>
      </c>
      <c r="L68" s="175" t="str">
        <f t="shared" si="8"/>
        <v>🎉 DEBT FREE!</v>
      </c>
    </row>
    <row r="69" spans="2:12" ht="27.75" customHeight="1" x14ac:dyDescent="0.35">
      <c r="B69" s="249" t="s">
        <v>258</v>
      </c>
      <c r="C69" s="249"/>
      <c r="D69" s="249"/>
      <c r="E69" s="249"/>
      <c r="F69" s="249"/>
      <c r="G69" s="249"/>
      <c r="H69" s="249"/>
      <c r="I69" s="249"/>
      <c r="J69" s="176">
        <f>SUM(H9:H68)</f>
        <v>0</v>
      </c>
      <c r="K69" s="250" t="s">
        <v>259</v>
      </c>
      <c r="L69" s="250"/>
    </row>
  </sheetData>
  <mergeCells count="7">
    <mergeCell ref="B69:I69"/>
    <mergeCell ref="K69:L69"/>
    <mergeCell ref="B1:L1"/>
    <mergeCell ref="B2:L2"/>
    <mergeCell ref="B3:L3"/>
    <mergeCell ref="B5:L5"/>
    <mergeCell ref="B7:L7"/>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M23"/>
  <sheetViews>
    <sheetView showGridLines="0" zoomScaleNormal="100" workbookViewId="0"/>
  </sheetViews>
  <sheetFormatPr defaultColWidth="8.6328125" defaultRowHeight="14.5" x14ac:dyDescent="0.35"/>
  <cols>
    <col min="2" max="2" width="28" customWidth="1"/>
    <col min="3" max="3" width="14" customWidth="1"/>
    <col min="4" max="4" width="10" customWidth="1"/>
    <col min="5" max="6" width="12" customWidth="1"/>
    <col min="7" max="7" width="16" customWidth="1"/>
    <col min="8" max="8" width="28" customWidth="1"/>
    <col min="9" max="9" width="14" customWidth="1"/>
    <col min="10" max="10" width="10" customWidth="1"/>
    <col min="11" max="12" width="12" customWidth="1"/>
    <col min="13" max="13" width="16" customWidth="1"/>
  </cols>
  <sheetData>
    <row r="1" spans="2:13" ht="36" customHeight="1" x14ac:dyDescent="0.35">
      <c r="B1" s="245" t="s">
        <v>260</v>
      </c>
      <c r="C1" s="245"/>
      <c r="D1" s="245"/>
      <c r="E1" s="245"/>
      <c r="F1" s="245"/>
      <c r="G1" s="245"/>
      <c r="H1" s="245"/>
      <c r="I1" s="245"/>
      <c r="J1" s="245"/>
      <c r="K1" s="245"/>
      <c r="L1" s="245"/>
      <c r="M1" s="245"/>
    </row>
    <row r="2" spans="2:13" ht="18" customHeight="1" x14ac:dyDescent="0.35">
      <c r="B2" s="244" t="s">
        <v>261</v>
      </c>
      <c r="C2" s="244"/>
      <c r="D2" s="244"/>
      <c r="E2" s="244"/>
      <c r="F2" s="244"/>
      <c r="G2" s="244"/>
      <c r="H2" s="244"/>
      <c r="I2" s="244"/>
      <c r="J2" s="244"/>
      <c r="K2" s="244"/>
      <c r="L2" s="244"/>
      <c r="M2" s="244"/>
    </row>
    <row r="4" spans="2:13" ht="27.75" customHeight="1" x14ac:dyDescent="0.35">
      <c r="B4" s="251" t="s">
        <v>262</v>
      </c>
      <c r="C4" s="251"/>
      <c r="D4" s="251"/>
      <c r="E4" s="251"/>
      <c r="F4" s="251"/>
      <c r="G4" s="251"/>
      <c r="H4" s="252" t="s">
        <v>263</v>
      </c>
      <c r="I4" s="252"/>
      <c r="J4" s="252"/>
      <c r="K4" s="252"/>
      <c r="L4" s="252"/>
      <c r="M4" s="252"/>
    </row>
    <row r="5" spans="2:13" ht="31.5" customHeight="1" x14ac:dyDescent="0.35">
      <c r="B5" s="157" t="s">
        <v>215</v>
      </c>
      <c r="C5" s="157" t="s">
        <v>216</v>
      </c>
      <c r="D5" s="157" t="s">
        <v>217</v>
      </c>
      <c r="E5" s="157" t="s">
        <v>264</v>
      </c>
      <c r="F5" s="157" t="s">
        <v>265</v>
      </c>
      <c r="G5" s="157" t="s">
        <v>266</v>
      </c>
      <c r="H5" s="177" t="s">
        <v>215</v>
      </c>
      <c r="I5" s="177" t="s">
        <v>216</v>
      </c>
      <c r="J5" s="177" t="s">
        <v>217</v>
      </c>
      <c r="K5" s="177" t="s">
        <v>264</v>
      </c>
      <c r="L5" s="177" t="s">
        <v>265</v>
      </c>
      <c r="M5" s="177" t="s">
        <v>266</v>
      </c>
    </row>
    <row r="6" spans="2:13" ht="18" customHeight="1" x14ac:dyDescent="0.35">
      <c r="B6" s="178" t="str">
        <f>'💸 Debt Tracker'!B9</f>
        <v>e.g. Credit Card 1</v>
      </c>
      <c r="C6" s="169">
        <f>'💸 Debt Tracker'!C9</f>
        <v>0</v>
      </c>
      <c r="D6" s="179">
        <f>'💸 Debt Tracker'!D9</f>
        <v>0</v>
      </c>
      <c r="E6" s="169">
        <f>'💸 Debt Tracker'!E9</f>
        <v>0</v>
      </c>
      <c r="F6" s="180" t="str">
        <f>'💸 Debt Tracker'!I9</f>
        <v>-</v>
      </c>
      <c r="G6" s="172" t="str">
        <f>'💸 Debt Tracker'!G9</f>
        <v>-</v>
      </c>
      <c r="H6" s="178" t="str">
        <f>'💸 Debt Tracker'!B9</f>
        <v>e.g. Credit Card 1</v>
      </c>
      <c r="I6" s="169">
        <f>'💸 Debt Tracker'!C9</f>
        <v>0</v>
      </c>
      <c r="J6" s="179">
        <f>'💸 Debt Tracker'!D9</f>
        <v>0</v>
      </c>
      <c r="K6" s="169">
        <f>'💸 Debt Tracker'!E9</f>
        <v>0</v>
      </c>
      <c r="L6" s="181" t="str">
        <f>'💸 Debt Tracker'!J9</f>
        <v>-</v>
      </c>
      <c r="M6" s="172" t="str">
        <f>'💸 Debt Tracker'!G9</f>
        <v>-</v>
      </c>
    </row>
    <row r="7" spans="2:13" ht="18" customHeight="1" x14ac:dyDescent="0.35">
      <c r="B7" s="182" t="str">
        <f>'💸 Debt Tracker'!B10</f>
        <v>e.g. Car Loan</v>
      </c>
      <c r="C7" s="160">
        <f>'💸 Debt Tracker'!C10</f>
        <v>0</v>
      </c>
      <c r="D7" s="183">
        <f>'💸 Debt Tracker'!D10</f>
        <v>0</v>
      </c>
      <c r="E7" s="160">
        <f>'💸 Debt Tracker'!E10</f>
        <v>0</v>
      </c>
      <c r="F7" s="184" t="str">
        <f>'💸 Debt Tracker'!I10</f>
        <v>-</v>
      </c>
      <c r="G7" s="163" t="str">
        <f>'💸 Debt Tracker'!G10</f>
        <v>-</v>
      </c>
      <c r="H7" s="182" t="str">
        <f>'💸 Debt Tracker'!B10</f>
        <v>e.g. Car Loan</v>
      </c>
      <c r="I7" s="160">
        <f>'💸 Debt Tracker'!C10</f>
        <v>0</v>
      </c>
      <c r="J7" s="183">
        <f>'💸 Debt Tracker'!D10</f>
        <v>0</v>
      </c>
      <c r="K7" s="160">
        <f>'💸 Debt Tracker'!E10</f>
        <v>0</v>
      </c>
      <c r="L7" s="185" t="str">
        <f>'💸 Debt Tracker'!J10</f>
        <v>-</v>
      </c>
      <c r="M7" s="163" t="str">
        <f>'💸 Debt Tracker'!G10</f>
        <v>-</v>
      </c>
    </row>
    <row r="8" spans="2:13" ht="18" customHeight="1" x14ac:dyDescent="0.35">
      <c r="B8" s="178" t="str">
        <f>'💸 Debt Tracker'!B11</f>
        <v>e.g. Student Loan</v>
      </c>
      <c r="C8" s="169">
        <f>'💸 Debt Tracker'!C11</f>
        <v>0</v>
      </c>
      <c r="D8" s="179">
        <f>'💸 Debt Tracker'!D11</f>
        <v>0</v>
      </c>
      <c r="E8" s="169">
        <f>'💸 Debt Tracker'!E11</f>
        <v>0</v>
      </c>
      <c r="F8" s="180" t="str">
        <f>'💸 Debt Tracker'!I11</f>
        <v>-</v>
      </c>
      <c r="G8" s="172" t="str">
        <f>'💸 Debt Tracker'!G11</f>
        <v>-</v>
      </c>
      <c r="H8" s="178" t="str">
        <f>'💸 Debt Tracker'!B11</f>
        <v>e.g. Student Loan</v>
      </c>
      <c r="I8" s="169">
        <f>'💸 Debt Tracker'!C11</f>
        <v>0</v>
      </c>
      <c r="J8" s="179">
        <f>'💸 Debt Tracker'!D11</f>
        <v>0</v>
      </c>
      <c r="K8" s="169">
        <f>'💸 Debt Tracker'!E11</f>
        <v>0</v>
      </c>
      <c r="L8" s="181" t="str">
        <f>'💸 Debt Tracker'!J11</f>
        <v>-</v>
      </c>
      <c r="M8" s="172" t="str">
        <f>'💸 Debt Tracker'!G11</f>
        <v>-</v>
      </c>
    </row>
    <row r="9" spans="2:13" ht="18" customHeight="1" x14ac:dyDescent="0.35">
      <c r="B9" s="182" t="str">
        <f>'💸 Debt Tracker'!B12</f>
        <v>e.g. Medical Bill</v>
      </c>
      <c r="C9" s="160">
        <f>'💸 Debt Tracker'!C12</f>
        <v>0</v>
      </c>
      <c r="D9" s="183">
        <f>'💸 Debt Tracker'!D12</f>
        <v>0</v>
      </c>
      <c r="E9" s="160">
        <f>'💸 Debt Tracker'!E12</f>
        <v>0</v>
      </c>
      <c r="F9" s="184" t="str">
        <f>'💸 Debt Tracker'!I12</f>
        <v>-</v>
      </c>
      <c r="G9" s="163" t="str">
        <f>'💸 Debt Tracker'!G12</f>
        <v>-</v>
      </c>
      <c r="H9" s="182" t="str">
        <f>'💸 Debt Tracker'!B12</f>
        <v>e.g. Medical Bill</v>
      </c>
      <c r="I9" s="160">
        <f>'💸 Debt Tracker'!C12</f>
        <v>0</v>
      </c>
      <c r="J9" s="183">
        <f>'💸 Debt Tracker'!D12</f>
        <v>0</v>
      </c>
      <c r="K9" s="160">
        <f>'💸 Debt Tracker'!E12</f>
        <v>0</v>
      </c>
      <c r="L9" s="185" t="str">
        <f>'💸 Debt Tracker'!J12</f>
        <v>-</v>
      </c>
      <c r="M9" s="163" t="str">
        <f>'💸 Debt Tracker'!G12</f>
        <v>-</v>
      </c>
    </row>
    <row r="10" spans="2:13" ht="18" customHeight="1" x14ac:dyDescent="0.35">
      <c r="B10" s="178" t="str">
        <f>'💸 Debt Tracker'!B13</f>
        <v>e.g. Personal Loan</v>
      </c>
      <c r="C10" s="169">
        <f>'💸 Debt Tracker'!C13</f>
        <v>0</v>
      </c>
      <c r="D10" s="179">
        <f>'💸 Debt Tracker'!D13</f>
        <v>0</v>
      </c>
      <c r="E10" s="169">
        <f>'💸 Debt Tracker'!E13</f>
        <v>0</v>
      </c>
      <c r="F10" s="180" t="str">
        <f>'💸 Debt Tracker'!I13</f>
        <v>-</v>
      </c>
      <c r="G10" s="172" t="str">
        <f>'💸 Debt Tracker'!G13</f>
        <v>-</v>
      </c>
      <c r="H10" s="178" t="str">
        <f>'💸 Debt Tracker'!B13</f>
        <v>e.g. Personal Loan</v>
      </c>
      <c r="I10" s="169">
        <f>'💸 Debt Tracker'!C13</f>
        <v>0</v>
      </c>
      <c r="J10" s="179">
        <f>'💸 Debt Tracker'!D13</f>
        <v>0</v>
      </c>
      <c r="K10" s="169">
        <f>'💸 Debt Tracker'!E13</f>
        <v>0</v>
      </c>
      <c r="L10" s="181" t="str">
        <f>'💸 Debt Tracker'!J13</f>
        <v>-</v>
      </c>
      <c r="M10" s="172" t="str">
        <f>'💸 Debt Tracker'!G13</f>
        <v>-</v>
      </c>
    </row>
    <row r="11" spans="2:13" ht="18" customHeight="1" x14ac:dyDescent="0.35">
      <c r="B11" s="182">
        <f>'💸 Debt Tracker'!B14</f>
        <v>0</v>
      </c>
      <c r="C11" s="160">
        <f>'💸 Debt Tracker'!C14</f>
        <v>0</v>
      </c>
      <c r="D11" s="183">
        <f>'💸 Debt Tracker'!D14</f>
        <v>0</v>
      </c>
      <c r="E11" s="160">
        <f>'💸 Debt Tracker'!E14</f>
        <v>0</v>
      </c>
      <c r="F11" s="184" t="str">
        <f>'💸 Debt Tracker'!I14</f>
        <v>-</v>
      </c>
      <c r="G11" s="163" t="str">
        <f>'💸 Debt Tracker'!G14</f>
        <v>-</v>
      </c>
      <c r="H11" s="182">
        <f>'💸 Debt Tracker'!B14</f>
        <v>0</v>
      </c>
      <c r="I11" s="160">
        <f>'💸 Debt Tracker'!C14</f>
        <v>0</v>
      </c>
      <c r="J11" s="183">
        <f>'💸 Debt Tracker'!D14</f>
        <v>0</v>
      </c>
      <c r="K11" s="160">
        <f>'💸 Debt Tracker'!E14</f>
        <v>0</v>
      </c>
      <c r="L11" s="185" t="str">
        <f>'💸 Debt Tracker'!J14</f>
        <v>-</v>
      </c>
      <c r="M11" s="163" t="str">
        <f>'💸 Debt Tracker'!G14</f>
        <v>-</v>
      </c>
    </row>
    <row r="12" spans="2:13" ht="18" customHeight="1" x14ac:dyDescent="0.35">
      <c r="B12" s="178">
        <f>'💸 Debt Tracker'!B15</f>
        <v>0</v>
      </c>
      <c r="C12" s="169">
        <f>'💸 Debt Tracker'!C15</f>
        <v>0</v>
      </c>
      <c r="D12" s="179">
        <f>'💸 Debt Tracker'!D15</f>
        <v>0</v>
      </c>
      <c r="E12" s="169">
        <f>'💸 Debt Tracker'!E15</f>
        <v>0</v>
      </c>
      <c r="F12" s="180" t="str">
        <f>'💸 Debt Tracker'!I15</f>
        <v>-</v>
      </c>
      <c r="G12" s="172" t="str">
        <f>'💸 Debt Tracker'!G15</f>
        <v>-</v>
      </c>
      <c r="H12" s="178">
        <f>'💸 Debt Tracker'!B15</f>
        <v>0</v>
      </c>
      <c r="I12" s="169">
        <f>'💸 Debt Tracker'!C15</f>
        <v>0</v>
      </c>
      <c r="J12" s="179">
        <f>'💸 Debt Tracker'!D15</f>
        <v>0</v>
      </c>
      <c r="K12" s="169">
        <f>'💸 Debt Tracker'!E15</f>
        <v>0</v>
      </c>
      <c r="L12" s="181" t="str">
        <f>'💸 Debt Tracker'!J15</f>
        <v>-</v>
      </c>
      <c r="M12" s="172" t="str">
        <f>'💸 Debt Tracker'!G15</f>
        <v>-</v>
      </c>
    </row>
    <row r="13" spans="2:13" ht="18" customHeight="1" x14ac:dyDescent="0.35">
      <c r="B13" s="182">
        <f>'💸 Debt Tracker'!B16</f>
        <v>0</v>
      </c>
      <c r="C13" s="160">
        <f>'💸 Debt Tracker'!C16</f>
        <v>0</v>
      </c>
      <c r="D13" s="183">
        <f>'💸 Debt Tracker'!D16</f>
        <v>0</v>
      </c>
      <c r="E13" s="160">
        <f>'💸 Debt Tracker'!E16</f>
        <v>0</v>
      </c>
      <c r="F13" s="184" t="str">
        <f>'💸 Debt Tracker'!I16</f>
        <v>-</v>
      </c>
      <c r="G13" s="163" t="str">
        <f>'💸 Debt Tracker'!G16</f>
        <v>-</v>
      </c>
      <c r="H13" s="182">
        <f>'💸 Debt Tracker'!B16</f>
        <v>0</v>
      </c>
      <c r="I13" s="160">
        <f>'💸 Debt Tracker'!C16</f>
        <v>0</v>
      </c>
      <c r="J13" s="183">
        <f>'💸 Debt Tracker'!D16</f>
        <v>0</v>
      </c>
      <c r="K13" s="160">
        <f>'💸 Debt Tracker'!E16</f>
        <v>0</v>
      </c>
      <c r="L13" s="185" t="str">
        <f>'💸 Debt Tracker'!J16</f>
        <v>-</v>
      </c>
      <c r="M13" s="163" t="str">
        <f>'💸 Debt Tracker'!G16</f>
        <v>-</v>
      </c>
    </row>
    <row r="14" spans="2:13" ht="18" customHeight="1" x14ac:dyDescent="0.35">
      <c r="B14" s="178">
        <f>'💸 Debt Tracker'!B17</f>
        <v>0</v>
      </c>
      <c r="C14" s="169">
        <f>'💸 Debt Tracker'!C17</f>
        <v>0</v>
      </c>
      <c r="D14" s="179">
        <f>'💸 Debt Tracker'!D17</f>
        <v>0</v>
      </c>
      <c r="E14" s="169">
        <f>'💸 Debt Tracker'!E17</f>
        <v>0</v>
      </c>
      <c r="F14" s="180" t="str">
        <f>'💸 Debt Tracker'!I17</f>
        <v>-</v>
      </c>
      <c r="G14" s="172" t="str">
        <f>'💸 Debt Tracker'!G17</f>
        <v>-</v>
      </c>
      <c r="H14" s="178">
        <f>'💸 Debt Tracker'!B17</f>
        <v>0</v>
      </c>
      <c r="I14" s="169">
        <f>'💸 Debt Tracker'!C17</f>
        <v>0</v>
      </c>
      <c r="J14" s="179">
        <f>'💸 Debt Tracker'!D17</f>
        <v>0</v>
      </c>
      <c r="K14" s="169">
        <f>'💸 Debt Tracker'!E17</f>
        <v>0</v>
      </c>
      <c r="L14" s="181" t="str">
        <f>'💸 Debt Tracker'!J17</f>
        <v>-</v>
      </c>
      <c r="M14" s="172" t="str">
        <f>'💸 Debt Tracker'!G17</f>
        <v>-</v>
      </c>
    </row>
    <row r="15" spans="2:13" ht="18" customHeight="1" x14ac:dyDescent="0.35">
      <c r="B15" s="182">
        <f>'💸 Debt Tracker'!B18</f>
        <v>0</v>
      </c>
      <c r="C15" s="160">
        <f>'💸 Debt Tracker'!C18</f>
        <v>0</v>
      </c>
      <c r="D15" s="183">
        <f>'💸 Debt Tracker'!D18</f>
        <v>0</v>
      </c>
      <c r="E15" s="160">
        <f>'💸 Debt Tracker'!E18</f>
        <v>0</v>
      </c>
      <c r="F15" s="184" t="str">
        <f>'💸 Debt Tracker'!I18</f>
        <v>-</v>
      </c>
      <c r="G15" s="163" t="str">
        <f>'💸 Debt Tracker'!G18</f>
        <v>-</v>
      </c>
      <c r="H15" s="182">
        <f>'💸 Debt Tracker'!B18</f>
        <v>0</v>
      </c>
      <c r="I15" s="160">
        <f>'💸 Debt Tracker'!C18</f>
        <v>0</v>
      </c>
      <c r="J15" s="183">
        <f>'💸 Debt Tracker'!D18</f>
        <v>0</v>
      </c>
      <c r="K15" s="160">
        <f>'💸 Debt Tracker'!E18</f>
        <v>0</v>
      </c>
      <c r="L15" s="185" t="str">
        <f>'💸 Debt Tracker'!J18</f>
        <v>-</v>
      </c>
      <c r="M15" s="163" t="str">
        <f>'💸 Debt Tracker'!G18</f>
        <v>-</v>
      </c>
    </row>
    <row r="16" spans="2:13" ht="21.75" customHeight="1" x14ac:dyDescent="0.35">
      <c r="B16" s="186" t="s">
        <v>213</v>
      </c>
      <c r="C16" s="187">
        <f>'💸 Debt Tracker'!C19</f>
        <v>0</v>
      </c>
      <c r="E16" s="187">
        <f>'💸 Debt Tracker'!E19</f>
        <v>0</v>
      </c>
      <c r="G16" s="187">
        <f>SUM(G6:G15)</f>
        <v>0</v>
      </c>
      <c r="H16" s="186" t="s">
        <v>213</v>
      </c>
      <c r="I16" s="187">
        <f>'💸 Debt Tracker'!C19</f>
        <v>0</v>
      </c>
      <c r="K16" s="187">
        <f>'💸 Debt Tracker'!E19</f>
        <v>0</v>
      </c>
      <c r="M16" s="187">
        <f>SUM(M6:M15)</f>
        <v>0</v>
      </c>
    </row>
    <row r="18" spans="2:13" ht="27.75" customHeight="1" x14ac:dyDescent="0.35">
      <c r="B18" s="235" t="s">
        <v>267</v>
      </c>
      <c r="C18" s="235"/>
      <c r="D18" s="235"/>
      <c r="E18" s="235"/>
      <c r="F18" s="235"/>
      <c r="G18" s="235"/>
      <c r="H18" s="235"/>
      <c r="I18" s="235"/>
      <c r="J18" s="235"/>
      <c r="K18" s="235"/>
      <c r="L18" s="235"/>
      <c r="M18" s="235"/>
    </row>
    <row r="19" spans="2:13" ht="48" customHeight="1" x14ac:dyDescent="0.35">
      <c r="B19" s="253" t="s">
        <v>268</v>
      </c>
      <c r="C19" s="253"/>
      <c r="D19" s="253"/>
      <c r="E19" s="254" t="s">
        <v>269</v>
      </c>
      <c r="F19" s="254"/>
      <c r="G19" s="254"/>
      <c r="H19" s="254"/>
      <c r="I19" s="254"/>
      <c r="J19" s="254"/>
      <c r="K19" s="254"/>
      <c r="L19" s="254"/>
      <c r="M19" s="254"/>
    </row>
    <row r="20" spans="2:13" ht="48" customHeight="1" x14ac:dyDescent="0.35">
      <c r="B20" s="253" t="s">
        <v>270</v>
      </c>
      <c r="C20" s="253"/>
      <c r="D20" s="253"/>
      <c r="E20" s="255" t="s">
        <v>271</v>
      </c>
      <c r="F20" s="255"/>
      <c r="G20" s="255"/>
      <c r="H20" s="255"/>
      <c r="I20" s="255"/>
      <c r="J20" s="255"/>
      <c r="K20" s="255"/>
      <c r="L20" s="255"/>
      <c r="M20" s="255"/>
    </row>
    <row r="21" spans="2:13" ht="39.75" customHeight="1" x14ac:dyDescent="0.35">
      <c r="B21" s="253" t="s">
        <v>272</v>
      </c>
      <c r="C21" s="253"/>
      <c r="D21" s="253"/>
      <c r="E21" s="256">
        <f>'💸 Debt Tracker'!D37</f>
        <v>0</v>
      </c>
      <c r="F21" s="256"/>
      <c r="G21" s="256"/>
      <c r="H21" s="256"/>
      <c r="I21" s="256"/>
      <c r="J21" s="256"/>
      <c r="K21" s="256"/>
      <c r="L21" s="256"/>
      <c r="M21" s="256"/>
    </row>
    <row r="23" spans="2:13" ht="19.5" customHeight="1" x14ac:dyDescent="0.35">
      <c r="B23" s="244" t="s">
        <v>273</v>
      </c>
      <c r="C23" s="244"/>
      <c r="D23" s="244"/>
      <c r="E23" s="244"/>
      <c r="F23" s="244"/>
      <c r="G23" s="244"/>
      <c r="H23" s="244"/>
      <c r="I23" s="244"/>
      <c r="J23" s="244"/>
      <c r="K23" s="244"/>
      <c r="L23" s="244"/>
      <c r="M23" s="244"/>
    </row>
  </sheetData>
  <mergeCells count="12">
    <mergeCell ref="B23:M23"/>
    <mergeCell ref="B19:D19"/>
    <mergeCell ref="E19:M19"/>
    <mergeCell ref="B20:D20"/>
    <mergeCell ref="E20:M20"/>
    <mergeCell ref="B21:D21"/>
    <mergeCell ref="E21:M21"/>
    <mergeCell ref="B1:M1"/>
    <mergeCell ref="B2:M2"/>
    <mergeCell ref="B4:G4"/>
    <mergeCell ref="H4:M4"/>
    <mergeCell ref="B18:M18"/>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 Start Here</vt:lpstr>
      <vt:lpstr>📅 Weekly Life Planner</vt:lpstr>
      <vt:lpstr>💰 Monthly Money Snapshot</vt:lpstr>
      <vt:lpstr>🎯 Goals Dashboard</vt:lpstr>
      <vt:lpstr>🙏 Daily Wins &amp; Gratitude</vt:lpstr>
      <vt:lpstr>💸 Debt Tracker</vt:lpstr>
      <vt:lpstr>📈 Payoff Timeline</vt:lpstr>
      <vt:lpstr>🧮 Method 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Shanikwa Haynes</cp:lastModifiedBy>
  <cp:revision>0</cp:revision>
  <dcterms:created xsi:type="dcterms:W3CDTF">2026-06-29T03:11:48Z</dcterms:created>
  <dcterms:modified xsi:type="dcterms:W3CDTF">2026-06-29T06:24:32Z</dcterms:modified>
  <dc:language>en-US</dc:language>
</cp:coreProperties>
</file>